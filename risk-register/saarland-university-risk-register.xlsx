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isk Register" sheetId="2" state="visible" r:id="rId4"/>
    <sheet name="Summary" sheetId="3" state="visible" r:id="rId5"/>
    <sheet name="Scoring Method" sheetId="4" state="visible" r:id="rId6"/>
    <sheet name="Lists" sheetId="5" state="visible" r:id="rId7"/>
    <sheet name="Sources" sheetId="6" state="visible" r:id="rId8"/>
  </sheets>
  <definedNames>
    <definedName function="false" hidden="true" localSheetId="1" name="_xlnm._FilterDatabase" vbProcedure="false">'Risk Register'!$A$4:$W$22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<sst xmlns="http://schemas.openxmlformats.org/spreadsheetml/2006/main" count="413" uniqueCount="321">
  <si>
    <t xml:space="preserve">Information Security Risk Register: Saarland University</t>
  </si>
  <si>
    <t xml:space="preserve">PORTFOLIO EXERCISE. Not an official document of Saarland University.</t>
  </si>
  <si>
    <t xml:space="preserve">Purpose</t>
  </si>
  <si>
    <t xml:space="preserve">Sample risk register for an ISMS based on ISO/IEC 27001:2022, built around Saarland University (Universität des Saarlandes) as the example organisation.</t>
  </si>
  <si>
    <t xml:space="preserve">Public facts used: campuses in Saarbrücken and Homburg, the Faculty of Medicine in Homburg, and the University IT Centre (HIZ), shared with htw saar. A network uplink via the German research network (DFN) is assumed, not confirmed. Links are on the Sources sheet.</t>
  </si>
  <si>
    <t xml:space="preserve">Everything else (risks, scores, owners, existing controls, due dates, statuses) is invented for illustration and does not describe the university's real security posture.</t>
  </si>
  <si>
    <t xml:space="preserve">Sheets</t>
  </si>
  <si>
    <t xml:space="preserve">Risk Register: one row per risk with inherent and residual scoring, owner role, ISO 27001:2022 Annex A controls, treatment and remediation tracking.</t>
  </si>
  <si>
    <t xml:space="preserve">Summary: KPIs and a 5x5 heatmap, calculated from the register with formulas.</t>
  </si>
  <si>
    <t xml:space="preserve">Scoring Method: definitions for likelihood and impact (1 to 5), rating bands and risk appetite.</t>
  </si>
  <si>
    <t xml:space="preserve">Lists: values used by the drop-down menus.</t>
  </si>
  <si>
    <t xml:space="preserve">Sources: public pages and standards behind the facts, scales and control references.</t>
  </si>
  <si>
    <t xml:space="preserve">How to edit</t>
  </si>
  <si>
    <t xml:space="preserve">Cells with a light yellow fill are inputs. Grey-headed columns (Score, Rating, Days overdue, Overdue, Residual score) are formulas and should not be overwritten.</t>
  </si>
  <si>
    <t xml:space="preserve">Likelihood, Impact, Treatment and Status use drop-downs. Rating band thresholds live on the Scoring Method sheet and drive all ratings.</t>
  </si>
  <si>
    <t xml:space="preserve">Days overdue uses TODAY(), so it updates whenever the file is opened. Closed and Accepted risks are never counted as overdue.</t>
  </si>
  <si>
    <t xml:space="preserve">To add a risk, copy the last row down and extend the formulas; the Summary sheet counts rows 5 to 100.</t>
  </si>
  <si>
    <t xml:space="preserve">Version 0.1, prepared 08 October 2026.</t>
  </si>
  <si>
    <t xml:space="preserve">Portfolio exercise based on ISO/IEC 27001:2022. Public facts only; all internal details are invented. Not an official university document.</t>
  </si>
  <si>
    <t xml:space="preserve">Risk ID</t>
  </si>
  <si>
    <t xml:space="preserve">Risk title</t>
  </si>
  <si>
    <t xml:space="preserve">Description (threat and vulnerability)</t>
  </si>
  <si>
    <t xml:space="preserve">Affected asset / process</t>
  </si>
  <si>
    <t xml:space="preserve">Category</t>
  </si>
  <si>
    <t xml:space="preserve">Risk owner (role)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</si>
  <si>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</si>
  <si>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</si>
  <si>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</si>
  <si>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</si>
  <si>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Existing controls</t>
  </si>
  <si>
    <t xml:space="preserve">ISO 27001:2022 Annex A controls</t>
  </si>
  <si>
    <t xml:space="preserve">Treatment</t>
  </si>
  <si>
    <t xml:space="preserve">Planned remediation</t>
  </si>
  <si>
    <t xml:space="preserve">Status</t>
  </si>
  <si>
    <t xml:space="preserve">Due date</t>
  </si>
  <si>
    <t xml:space="preserve">Days overdue</t>
  </si>
  <si>
    <t xml:space="preserve">Overdue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</si>
  <si>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</si>
  <si>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</si>
  <si>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</si>
  <si>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</si>
  <si>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Last reviewed</t>
  </si>
  <si>
    <t xml:space="preserve">R01</t>
  </si>
  <si>
    <t xml:space="preserve">Ransomware on central IT infrastructure</t>
  </si>
  <si>
    <t xml:space="preserve">Criminal group encrypts file servers, directory service and virtualisation hosts after initial access via phishing or an unpatched edge device. Comparable attacks hit several German universities between 2019 and 2023.</t>
  </si>
  <si>
    <t xml:space="preserve">Central servers, directory service, backups</t>
  </si>
  <si>
    <t xml:space="preserve">Cyber attack</t>
  </si>
  <si>
    <t xml:space="preserve">Head of University IT Centre (HIZ)</t>
  </si>
  <si>
    <t xml:space="preserve">Endpoint antivirus; nightly backups; firewall at network edge</t>
  </si>
  <si>
    <t xml:space="preserve">A.8.7 Protection against malware; A.8.13 Information backup; A.5.29 Information security during disruption</t>
  </si>
  <si>
    <t xml:space="preserve">Mitigate</t>
  </si>
  <si>
    <t xml:space="preserve">Introduce offline/immutable backup copy, tested quarterly restore, EDR on servers</t>
  </si>
  <si>
    <t xml:space="preserve">In progress</t>
  </si>
  <si>
    <t xml:space="preserve">R02</t>
  </si>
  <si>
    <t xml:space="preserve">Phishing and theft of staff or student credentials</t>
  </si>
  <si>
    <t xml:space="preserve">Credential phishing against university email accounts leads to mailbox takeover, internal spam waves and access to connected services via single sign-on.</t>
  </si>
  <si>
    <t xml:space="preserve">Email, single sign-on accounts</t>
  </si>
  <si>
    <t xml:space="preserve">Chief Information Security Officer (CISO)</t>
  </si>
  <si>
    <t xml:space="preserve">Spam filter; occasional awareness emails</t>
  </si>
  <si>
    <t xml:space="preserve">A.6.3 Information security awareness, education and training; A.8.5 Secure authentication; A.5.17 Authentication information</t>
  </si>
  <si>
    <t xml:space="preserve">Roll out MFA for all staff accounts; yearly phishing simulation and e-learning</t>
  </si>
  <si>
    <t xml:space="preserve">R03</t>
  </si>
  <si>
    <t xml:space="preserve">Leak of sensitive research data</t>
  </si>
  <si>
    <t xml:space="preserve">Personal or health data from research projects (for example clinical studies at the Homburg campus) is exposed through insecure storage, email or unauthorised sharing.</t>
  </si>
  <si>
    <t xml:space="preserve">Research data stores, project drives</t>
  </si>
  <si>
    <t xml:space="preserve">Data protection</t>
  </si>
  <si>
    <t xml:space="preserve">Vice President for Research</t>
  </si>
  <si>
    <t xml:space="preserve">Data protection training for researchers; ethics committee review</t>
  </si>
  <si>
    <t xml:space="preserve">A.5.12 Classification of information; A.5.34 Privacy and protection of PII; A.8.11 Data masking</t>
  </si>
  <si>
    <t xml:space="preserve">Classification scheme for research data; encrypted research storage offering; pseudonymisation guideline</t>
  </si>
  <si>
    <t xml:space="preserve">Planned</t>
  </si>
  <si>
    <t xml:space="preserve">R04</t>
  </si>
  <si>
    <t xml:space="preserve">Loss or theft of laptops and mobile devices</t>
  </si>
  <si>
    <t xml:space="preserve">Staff laptops and phones holding exam papers, HR records or research data are lost while travelling or commuting; many devices are not centrally managed or encrypted.</t>
  </si>
  <si>
    <t xml:space="preserve">Endpoints</t>
  </si>
  <si>
    <t xml:space="preserve">Physical / human</t>
  </si>
  <si>
    <t xml:space="preserve">Encryption recommended in IT guideline, not enforced</t>
  </si>
  <si>
    <t xml:space="preserve">A.8.1 User endpoint devices; A.7.9 Security of assets off-premises; A.8.24 Use of cryptography</t>
  </si>
  <si>
    <t xml:space="preserve">Mandatory full-disk encryption and device management for university-owned laptops</t>
  </si>
  <si>
    <t xml:space="preserve">R05</t>
  </si>
  <si>
    <t xml:space="preserve">Outage of a critical IT or network supplier</t>
  </si>
  <si>
    <t xml:space="preserve">Loss of the external network uplink (assumed to run via the German research network DFN, as is typical for German universities) or of a cloud collaboration service stops email, teaching platforms and remote access.</t>
  </si>
  <si>
    <t xml:space="preserve">Internet uplink, cloud services</t>
  </si>
  <si>
    <t xml:space="preserve">Third party</t>
  </si>
  <si>
    <t xml:space="preserve">Contracts with standard SLAs; single uplink path</t>
  </si>
  <si>
    <t xml:space="preserve">A.5.19 Information security in supplier relationships; A.5.21 Managing security in the ICT supply chain; A.5.30 ICT readiness for business continuity</t>
  </si>
  <si>
    <t xml:space="preserve">Supplier risk review for top 10 IT suppliers; document fallback for loss of uplink</t>
  </si>
  <si>
    <t xml:space="preserve">Open</t>
  </si>
  <si>
    <t xml:space="preserve">R06</t>
  </si>
  <si>
    <t xml:space="preserve">Unpatched servers run by institutes (shadow IT)</t>
  </si>
  <si>
    <t xml:space="preserve">Chairs and institutes operate their own servers and web applications outside central IT; no inventory exists and patches are applied irregularly.</t>
  </si>
  <si>
    <t xml:space="preserve">Decentral servers and web apps</t>
  </si>
  <si>
    <t xml:space="preserve">Vulnerability</t>
  </si>
  <si>
    <t xml:space="preserve">Annual vulnerability scan of public IP ranges</t>
  </si>
  <si>
    <t xml:space="preserve">A.5.9 Inventory of information and other associated assets; A.8.8 Management of technical vulnerabilities</t>
  </si>
  <si>
    <t xml:space="preserve">Asset inventory for all servers on the campus network; monthly external scanning with follow-up</t>
  </si>
  <si>
    <t xml:space="preserve">R07</t>
  </si>
  <si>
    <t xml:space="preserve">Campus management system failure during enrolment or exam registration</t>
  </si>
  <si>
    <t xml:space="preserve">The student and exam administration system becomes unavailable in a peak period, so students cannot enrol or register for exams before deadlines.</t>
  </si>
  <si>
    <t xml:space="preserve">Campus management system</t>
  </si>
  <si>
    <t xml:space="preserve">Availability</t>
  </si>
  <si>
    <t xml:space="preserve">Head of Student Services</t>
  </si>
  <si>
    <t xml:space="preserve">Vendor support contract; daily database backup</t>
  </si>
  <si>
    <t xml:space="preserve">A.8.14 Redundancy of information processing facilities; A.5.30 ICT readiness for business continuity; A.8.6 Capacity management</t>
  </si>
  <si>
    <t xml:space="preserve">Load test before semester start; documented manual fallback and deadline extension procedure</t>
  </si>
  <si>
    <t xml:space="preserve">R08</t>
  </si>
  <si>
    <t xml:space="preserve">Misuse of privileged administrator accounts</t>
  </si>
  <si>
    <t xml:space="preserve">An administrator, or an attacker who has taken over an admin account, abuses broad standing privileges to read data or disable controls without being noticed.</t>
  </si>
  <si>
    <t xml:space="preserve">Admin accounts, directory service</t>
  </si>
  <si>
    <t xml:space="preserve">Insider / access</t>
  </si>
  <si>
    <t xml:space="preserve">Separate admin accounts for some systems</t>
  </si>
  <si>
    <t xml:space="preserve">A.8.2 Privileged access rights; A.8.15 Logging; A.5.18 Access rights</t>
  </si>
  <si>
    <t xml:space="preserve">Privileged access review twice a year; central logging of admin actions</t>
  </si>
  <si>
    <t xml:space="preserve">R09</t>
  </si>
  <si>
    <t xml:space="preserve">Accounts not removed after people leave</t>
  </si>
  <si>
    <t xml:space="preserve">Accounts of former staff, guest researchers and exmatriculated students stay active because HR and student systems are not linked to identity management.</t>
  </si>
  <si>
    <t xml:space="preserve">Identity management</t>
  </si>
  <si>
    <t xml:space="preserve">Director of Human Resources</t>
  </si>
  <si>
    <t xml:space="preserve">Manual deactivation on request</t>
  </si>
  <si>
    <t xml:space="preserve">A.5.16 Identity management; A.5.18 Access rights</t>
  </si>
  <si>
    <t xml:space="preserve">Automated joiner-mover-leaver process fed by HR and student records</t>
  </si>
  <si>
    <t xml:space="preserve">R10</t>
  </si>
  <si>
    <t xml:space="preserve">Personal data exposed through misconfigured file sharing</t>
  </si>
  <si>
    <t xml:space="preserve">Cloud folders or file shares with student or applicant data are shared via public links or with too broad groups.</t>
  </si>
  <si>
    <t xml:space="preserve">Cloud storage, file shares</t>
  </si>
  <si>
    <t xml:space="preserve">Data Protection Officer</t>
  </si>
  <si>
    <t xml:space="preserve">Data protection guideline; sharing links unrestricted by default</t>
  </si>
  <si>
    <t xml:space="preserve">A.5.14 Information transfer; A.5.15 Access control; A.5.34 Privacy and protection of PII</t>
  </si>
  <si>
    <t xml:space="preserve">Default expiry on sharing links; quarterly report of public shares to owners</t>
  </si>
  <si>
    <t xml:space="preserve">R11</t>
  </si>
  <si>
    <t xml:space="preserve">Espionage targeting research and knowledge transfer</t>
  </si>
  <si>
    <t xml:space="preserve">State-sponsored actors target research groups in computer science and engineering to steal unpublished results or export-controlled know-how.</t>
  </si>
  <si>
    <t xml:space="preserve">Research IP, lab networks</t>
  </si>
  <si>
    <t xml:space="preserve">Export control officer; general firewall rules</t>
  </si>
  <si>
    <t xml:space="preserve">A.5.7 Threat intelligence; A.5.12 Classification of information; A.8.16 Monitoring activities</t>
  </si>
  <si>
    <t xml:space="preserve">Security briefing for high-risk research groups; segmented network for sensitive projects</t>
  </si>
  <si>
    <t xml:space="preserve">R12</t>
  </si>
  <si>
    <t xml:space="preserve">Fire, water or power failure in the data centre</t>
  </si>
  <si>
    <t xml:space="preserve">A physical event in the central server room destroys or shuts down core systems; backups are kept in the same building.</t>
  </si>
  <si>
    <t xml:space="preserve">Data centre</t>
  </si>
  <si>
    <t xml:space="preserve">Physical / environmental</t>
  </si>
  <si>
    <t xml:space="preserve">Head of Facilities Management</t>
  </si>
  <si>
    <t xml:space="preserve">Fire detection; UPS for short outages</t>
  </si>
  <si>
    <t xml:space="preserve">A.7.5 Protecting against physical and environmental threats; A.7.11 Supporting utilities; A.8.13 Information backup</t>
  </si>
  <si>
    <t xml:space="preserve">Move backup copy to a second site on campus; test UPS and generator yearly</t>
  </si>
  <si>
    <t xml:space="preserve">R13</t>
  </si>
  <si>
    <t xml:space="preserve">Denial-of-service attack on website and network</t>
  </si>
  <si>
    <t xml:space="preserve">Overload attack on the public website, VPN or exam platform during a sensitive period such as online exams.</t>
  </si>
  <si>
    <t xml:space="preserve">Website, VPN, exam platform</t>
  </si>
  <si>
    <t xml:space="preserve">Basic DDoS filtering by network provider</t>
  </si>
  <si>
    <t xml:space="preserve">A.8.20 Networks security; A.8.6 Capacity management</t>
  </si>
  <si>
    <t xml:space="preserve">Accept</t>
  </si>
  <si>
    <t xml:space="preserve">Accept residual risk; keep provider DDoS filter and document escalation contact</t>
  </si>
  <si>
    <t xml:space="preserve">Accepted</t>
  </si>
  <si>
    <t xml:space="preserve">R14</t>
  </si>
  <si>
    <t xml:space="preserve">Insecure software developed in-house</t>
  </si>
  <si>
    <t xml:space="preserve">Web portals and research tools built by institutes and student assistants contain common vulnerabilities (injection, broken access control) because no secure development rules exist.</t>
  </si>
  <si>
    <t xml:space="preserve">In-house web applications</t>
  </si>
  <si>
    <t xml:space="preserve">None formalised</t>
  </si>
  <si>
    <t xml:space="preserve">A.8.25 Secure development life cycle; A.8.28 Secure coding; A.8.29 Security testing in development and acceptance</t>
  </si>
  <si>
    <t xml:space="preserve">Short secure coding guideline; security check before a web app goes public</t>
  </si>
  <si>
    <t xml:space="preserve">R15</t>
  </si>
  <si>
    <t xml:space="preserve">Attacks detected too late</t>
  </si>
  <si>
    <t xml:space="preserve">No central log collection or incident process means a compromise can stay undetected for weeks and response is improvised.</t>
  </si>
  <si>
    <t xml:space="preserve">Security monitoring</t>
  </si>
  <si>
    <t xml:space="preserve">Detection / response</t>
  </si>
  <si>
    <t xml:space="preserve">Logs kept locally on some systems</t>
  </si>
  <si>
    <t xml:space="preserve">A.8.16 Monitoring activities; A.5.24 Information security incident management planning and preparation; A.5.26 Response to information security incidents</t>
  </si>
  <si>
    <t xml:space="preserve">Central log platform for core systems; written incident response plan with on-call list</t>
  </si>
  <si>
    <t xml:space="preserve">R16</t>
  </si>
  <si>
    <t xml:space="preserve">Insecure lab equipment and building systems on the campus network</t>
  </si>
  <si>
    <t xml:space="preserve">Lab devices, building automation and other connected equipment run outdated software and share the network with office computers.</t>
  </si>
  <si>
    <t xml:space="preserve">Lab and building IoT</t>
  </si>
  <si>
    <t xml:space="preserve">Some VLAN separation</t>
  </si>
  <si>
    <t xml:space="preserve">A.8.22 Segregation of networks; A.8.20 Networks security</t>
  </si>
  <si>
    <t xml:space="preserve">Separate network zones for building systems and lab devices</t>
  </si>
  <si>
    <t xml:space="preserve">R17</t>
  </si>
  <si>
    <t xml:space="preserve">Loss of key IT staff and knowledge</t>
  </si>
  <si>
    <t xml:space="preserve">Critical systems depend on a few long-serving administrators; documentation is thin and public-sector salaries make replacements hard to hire.</t>
  </si>
  <si>
    <t xml:space="preserve">IT operations</t>
  </si>
  <si>
    <t xml:space="preserve">People</t>
  </si>
  <si>
    <t xml:space="preserve">Informal deputies for some systems</t>
  </si>
  <si>
    <t xml:space="preserve">A.5.37 Documented operating procedures; A.5.2 Information security roles and responsibilities</t>
  </si>
  <si>
    <t xml:space="preserve">Runbooks for top 15 services; named deputy for every critical system</t>
  </si>
  <si>
    <t xml:space="preserve">R18</t>
  </si>
  <si>
    <t xml:space="preserve">Confidential data entered into public AI tools</t>
  </si>
  <si>
    <t xml:space="preserve">Staff and students paste exam questions, personal data or unpublished research into public generative AI services without a contract or data protection review.</t>
  </si>
  <si>
    <t xml:space="preserve">Generative AI use</t>
  </si>
  <si>
    <t xml:space="preserve">No specific rule</t>
  </si>
  <si>
    <t xml:space="preserve">A.5.10 Acceptable use of information and other associated assets; A.5.14 Information transfer</t>
  </si>
  <si>
    <t xml:space="preserve">AI usage guideline; offer a contracted AI service with data protection agreement</t>
  </si>
  <si>
    <t xml:space="preserve">Risk Summary</t>
  </si>
  <si>
    <t xml:space="preserve">Calculated from the Risk Register (rows 5 to 100). Portfolio exercise.</t>
  </si>
  <si>
    <t xml:space="preserve">KPI</t>
  </si>
  <si>
    <t xml:space="preserve">Value</t>
  </si>
  <si>
    <t xml:space="preserve">Count</t>
  </si>
  <si>
    <t xml:space="preserve">Rating</t>
  </si>
  <si>
    <t xml:space="preserve">Inherent</t>
  </si>
  <si>
    <t xml:space="preserve">Residual</t>
  </si>
  <si>
    <t xml:space="preserve">Total risks</t>
  </si>
  <si>
    <t xml:space="preserve">Critical</t>
  </si>
  <si>
    <t xml:space="preserve">Open risks (not Closed or Accepted)</t>
  </si>
  <si>
    <t xml:space="preserve">High</t>
  </si>
  <si>
    <t xml:space="preserve">Overdue remediations</t>
  </si>
  <si>
    <t xml:space="preserve">Medium</t>
  </si>
  <si>
    <t xml:space="preserve">Critical or High (inherent)</t>
  </si>
  <si>
    <t xml:space="preserve">Closed</t>
  </si>
  <si>
    <t xml:space="preserve">Low</t>
  </si>
  <si>
    <t xml:space="preserve">Critical or High (residual target)</t>
  </si>
  <si>
    <t xml:space="preserve">Average inherent score</t>
  </si>
  <si>
    <t xml:space="preserve">Average residual score</t>
  </si>
  <si>
    <t xml:space="preserve">Inherent risk heatmap (number of risks per cell)</t>
  </si>
  <si>
    <t xml:space="preserve">Likelihood ↓ / Impact →</t>
  </si>
  <si>
    <t xml:space="preserve">Cell colours show the default rating bands (Low 1-4, Medium 5-9, High 10-14, Critical 15-25).</t>
  </si>
  <si>
    <t xml:space="preserve">Scoring Method</t>
  </si>
  <si>
    <t xml:space="preserve">Score = Likelihood x Impact (1 to 25). Assumed scales for this portfolio exercise.</t>
  </si>
  <si>
    <t xml:space="preserve">Level</t>
  </si>
  <si>
    <t xml:space="preserve">Likelihood</t>
  </si>
  <si>
    <t xml:space="preserve">Meaning (likelihood)</t>
  </si>
  <si>
    <t xml:space="preserve">Impact</t>
  </si>
  <si>
    <t xml:space="preserve">Meaning (impact)</t>
  </si>
  <si>
    <t xml:space="preserve">Rare</t>
  </si>
  <si>
    <t xml:space="preserve">Less than once in 10 years</t>
  </si>
  <si>
    <t xml:space="preserve">Negligible</t>
  </si>
  <si>
    <t xml:space="preserve">No noticeable effect on teaching, research or administration</t>
  </si>
  <si>
    <t xml:space="preserve">Unlikely</t>
  </si>
  <si>
    <t xml:space="preserve">Once in 5 to 10 years</t>
  </si>
  <si>
    <t xml:space="preserve">Minor</t>
  </si>
  <si>
    <t xml:space="preserve">Short disruption of one service; no personal data affected</t>
  </si>
  <si>
    <t xml:space="preserve">Possible</t>
  </si>
  <si>
    <t xml:space="preserve">Once in 2 to 5 years</t>
  </si>
  <si>
    <t xml:space="preserve">Moderate</t>
  </si>
  <si>
    <t xml:space="preserve">Disruption of several services for up to a day, or limited personal data breach</t>
  </si>
  <si>
    <t xml:space="preserve">Likely</t>
  </si>
  <si>
    <t xml:space="preserve">About once a year</t>
  </si>
  <si>
    <t xml:space="preserve">Major</t>
  </si>
  <si>
    <t xml:space="preserve">Core services down for days, reportable GDPR breach, or loss of research results</t>
  </si>
  <si>
    <t xml:space="preserve">Almost certain</t>
  </si>
  <si>
    <t xml:space="preserve">Several times a year</t>
  </si>
  <si>
    <t xml:space="preserve">Severe</t>
  </si>
  <si>
    <t xml:space="preserve">University-wide outage for weeks, large data breach, or serious reputational and legal damage</t>
  </si>
  <si>
    <t xml:space="preserve">Rating bands (edit the yellow thresholds)</t>
  </si>
  <si>
    <t xml:space="preserve">Minimum score</t>
  </si>
  <si>
    <t xml:space="preserve">Required response</t>
  </si>
  <si>
    <t xml:space="preserve">Accept; review yearly</t>
  </si>
  <si>
    <t xml:space="preserve">Treat when cost-effective; review every 6 months</t>
  </si>
  <si>
    <t xml:space="preserve">Treatment plan required; owner reports quarterly</t>
  </si>
  <si>
    <t xml:space="preserve">Immediate treatment; report to university management</t>
  </si>
  <si>
    <t xml:space="preserve">Risk appetite: residual score must be below the High threshold (B15). Risks at or above it need a treatment plan or a documented acceptance by the risk owner.</t>
  </si>
  <si>
    <t xml:space="preserve">Score</t>
  </si>
  <si>
    <t xml:space="preserve">Transfer</t>
  </si>
  <si>
    <t xml:space="preserve">Avoid</t>
  </si>
  <si>
    <t xml:space="preserve">Sources</t>
  </si>
  <si>
    <t xml:space="preserve">Checked 8 October 2026. Everything not listed here (risks, scores, owners, existing controls, dates) is invented for the exercise.</t>
  </si>
  <si>
    <t xml:space="preserve">Type</t>
  </si>
  <si>
    <t xml:space="preserve">Source</t>
  </si>
  <si>
    <t xml:space="preserve">Link</t>
  </si>
  <si>
    <t xml:space="preserve">What it supports</t>
  </si>
  <si>
    <t xml:space="preserve">Used in</t>
  </si>
  <si>
    <t xml:space="preserve">Access</t>
  </si>
  <si>
    <t xml:space="preserve">Organisation</t>
  </si>
  <si>
    <t xml:space="preserve">Saarland University: My new working environment (Saarbrücken and Homburg campuses)</t>
  </si>
  <si>
    <t xml:space="preserve">https://uni-saarland.de/en/page/newly-appointed-professors/your-professorship/working-environment.html</t>
  </si>
  <si>
    <t xml:space="preserve">Campuses in Saarbrücken and Homburg; Faculty of Medicine at the Medical Center in Homburg; University IT Centre (HIZ) with HR and Finance at the Meerwiesertalweg site; IT Service Desk in the Campus Center</t>
  </si>
  <si>
    <t xml:space="preserve">Read Me; R03, R07, R09</t>
  </si>
  <si>
    <t xml:space="preserve">Free web page</t>
  </si>
  <si>
    <t xml:space="preserve">Saarland University: Welche weiteren Anlaufstellen gibt es an der UdS?</t>
  </si>
  <si>
    <t xml:space="preserve">https://www.uni-saarland.de/page/neuberufen/persoenliches/anlaufstellen.html</t>
  </si>
  <si>
    <t xml:space="preserve">HIZ is the shared IT service provider of htw saar and Saarland University</t>
  </si>
  <si>
    <t xml:space="preserve">Read Me; owner role 'Head of University IT Centre (HIZ)'</t>
  </si>
  <si>
    <t xml:space="preserve">Hochschul-IT-Zentrum Saar (HIZ) website</t>
  </si>
  <si>
    <t xml:space="preserve">https://www.hiz-saarland.de/start/</t>
  </si>
  <si>
    <t xml:space="preserve">Official site of the IT centre (listed for reference; its content was not used)</t>
  </si>
  <si>
    <t xml:space="preserve">Owner role</t>
  </si>
  <si>
    <t xml:space="preserve">Saarland University: The Homburg campus</t>
  </si>
  <si>
    <t xml:space="preserve">https://uni-saarland.de/en/studies/saarland/the-homburg-campus.html</t>
  </si>
  <si>
    <t xml:space="preserve">Medical campus in Homburg</t>
  </si>
  <si>
    <t xml:space="preserve">Student council computer science: Internet @ Uni</t>
  </si>
  <si>
    <t xml:space="preserve">https://cs.fs.uni-saarland.de/en/special/internet/</t>
  </si>
  <si>
    <t xml:space="preserve">University offers eduroam WiFi and a VPN for remote access</t>
  </si>
  <si>
    <t xml:space="preserve">R02, R13</t>
  </si>
  <si>
    <t xml:space="preserve">Wikipedia: Saarland University</t>
  </si>
  <si>
    <t xml:space="preserve">https://en.wikipedia.org/wiki/Saarland_University</t>
  </si>
  <si>
    <t xml:space="preserve">Background only: founded 1948, six faculties, about 16,300 students</t>
  </si>
  <si>
    <t xml:space="preserve">Background, not in the register</t>
  </si>
  <si>
    <t xml:space="preserve">DFN: The national research and education network</t>
  </si>
  <si>
    <t xml:space="preserve">https://dfn.de/en/network</t>
  </si>
  <si>
    <t xml:space="preserve">German research network (X-WiN). A Saarland University uplink via DFN is assumed, not confirmed by a university page</t>
  </si>
  <si>
    <t xml:space="preserve">R05 (assumption)</t>
  </si>
  <si>
    <t xml:space="preserve">Standard</t>
  </si>
  <si>
    <t xml:space="preserve">ISO/IEC 27001:2022 Information security management systems: Requirements (with Amd 1:2024)</t>
  </si>
  <si>
    <t xml:space="preserve">https://www.iso.org/standard/27001</t>
  </si>
  <si>
    <t xml:space="preserve">Annex A with 93 controls; control numbers and names in column L</t>
  </si>
  <si>
    <t xml:space="preserve">Column L; Statement of Applicability later</t>
  </si>
  <si>
    <t xml:space="preserve">Paid standard (about CHF 155), no copy included</t>
  </si>
  <si>
    <t xml:space="preserve">ISO/IEC 27002:2022 Information security controls</t>
  </si>
  <si>
    <t xml:space="preserve">https://www.iso.org/standard/75652.html</t>
  </si>
  <si>
    <t xml:space="preserve">Guidance for each Annex A control</t>
  </si>
  <si>
    <t xml:space="preserve">Column L</t>
  </si>
  <si>
    <t xml:space="preserve">Paid standard, no copy included</t>
  </si>
  <si>
    <t xml:space="preserve">Method</t>
  </si>
  <si>
    <t xml:space="preserve">BSI-Standards overview (incl. BSI-Standard 200-3 risk management)</t>
  </si>
  <si>
    <t xml:space="preserve">https://www.bsi.bund.de/DE/Themen/Unternehmen-und-Organisationen/Standards-und-Zertifizierung/IT-Grundschutz/BSI-Standards/bsi-standards_node.html</t>
  </si>
  <si>
    <t xml:space="preserve">German government method for risk analysis, used as background. The 5x5 scales here are this exercise's own, not BSI's</t>
  </si>
  <si>
    <t xml:space="preserve">Free download from BSI</t>
  </si>
  <si>
    <t xml:space="preserve">BSI-Standard 200-3 English PDF</t>
  </si>
  <si>
    <t xml:space="preserve">https://www.bsi.bund.de/SharedDocs/Downloads/EN/BSI/Grundschutz/International/bsi-standard-2003_en_pdf.html</t>
  </si>
  <si>
    <t xml:space="preserve">Same, English version</t>
  </si>
  <si>
    <t xml:space="preserve">Law</t>
  </si>
  <si>
    <t xml:space="preserve">EU General Data Protection Regulation (GDPR), Regulation (EU) 2016/679</t>
  </si>
  <si>
    <t xml:space="preserve">https://eur-lex.europa.eu/eli/reg/2016/679/oj</t>
  </si>
  <si>
    <t xml:space="preserve">Art. 32 security of processing; Art. 33 breach notification, used in the impact scale ('reportable GDPR breach')</t>
  </si>
  <si>
    <t xml:space="preserve">Scoring Method; R03, R10, R18</t>
  </si>
  <si>
    <t xml:space="preserve">Free</t>
  </si>
  <si>
    <t xml:space="preserve">Threat context</t>
  </si>
  <si>
    <t xml:space="preserve">zm-online: Justus-Liebig-Universität ist wieder online (7 Jan 2020)</t>
  </si>
  <si>
    <t xml:space="preserve">https://www.zm-online.de/news/detail/justus-liebig-universitaet-ist-wieder-online</t>
  </si>
  <si>
    <t xml:space="preserve">Malware attack (likely Emotet) shut down Uni Gießen in December 2019</t>
  </si>
  <si>
    <t xml:space="preserve">The Record: Vice Society claims ransomware attack on HAW Hamburg (6 Mar 2023)</t>
  </si>
  <si>
    <t xml:space="preserve">https://therecord.media/germany-ransomware-haw-hamburg-vice-society</t>
  </si>
  <si>
    <t xml:space="preserve">Ransomware at HAW Hamburg (Dec 2022) and University of Duisburg-Essen (Nov 2022)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</si>
</sst>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8CBAD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uni-saarland.de/en/page/newly-appointed-professors/your-professorship/working-environment.html" TargetMode="External"/><Relationship Id="rId2" Type="http://schemas.openxmlformats.org/officeDocument/2006/relationships/hyperlink" Target="https://www.uni-saarland.de/page/neuberufen/persoenliches/anlaufstellen.html" TargetMode="External"/><Relationship Id="rId3" Type="http://schemas.openxmlformats.org/officeDocument/2006/relationships/hyperlink" Target="https://www.hiz-saarland.de/start/" TargetMode="External"/><Relationship Id="rId4" Type="http://schemas.openxmlformats.org/officeDocument/2006/relationships/hyperlink" Target="https://uni-saarland.de/en/studies/saarland/the-homburg-campus.html" TargetMode="External"/><Relationship Id="rId5" Type="http://schemas.openxmlformats.org/officeDocument/2006/relationships/hyperlink" Target="https://cs.fs.uni-saarland.de/en/special/internet/" TargetMode="External"/><Relationship Id="rId6" Type="http://schemas.openxmlformats.org/officeDocument/2006/relationships/hyperlink" Target="https://en.wikipedia.org/wiki/Saarland_University" TargetMode="External"/><Relationship Id="rId7" Type="http://schemas.openxmlformats.org/officeDocument/2006/relationships/hyperlink" Target="https://dfn.de/en/network" TargetMode="External"/><Relationship Id="rId8" Type="http://schemas.openxmlformats.org/officeDocument/2006/relationships/hyperlink" Target="https://www.iso.org/standard/27001" TargetMode="External"/><Relationship Id="rId9" Type="http://schemas.openxmlformats.org/officeDocument/2006/relationships/hyperlink" Target="https://www.iso.org/standard/75652.html" TargetMode="External"/><Relationship Id="rId10" Type="http://schemas.openxmlformats.org/officeDocument/2006/relationships/hyperlink" Target="https://www.bsi.bund.de/DE/Themen/Unternehmen-und-Organisationen/Standards-und-Zertifizierung/IT-Grundschutz/BSI-Standards/bsi-standards_node.html" TargetMode="External"/><Relationship Id="rId11" Type="http://schemas.openxmlformats.org/officeDocument/2006/relationships/hyperlink" Target="https://www.bsi.bund.de/SharedDocs/Downloads/EN/BSI/Grundschutz/International/bsi-standard-2003_en_pdf.html" TargetMode="External"/><Relationship Id="rId12" Type="http://schemas.openxmlformats.org/officeDocument/2006/relationships/hyperlink" Target="https://eur-lex.europa.eu/eli/reg/2016/679/oj" TargetMode="External"/><Relationship Id="rId13" Type="http://schemas.openxmlformats.org/officeDocument/2006/relationships/hyperlink" Target="https://www.zm-online.de/news/detail/justus-liebig-universitaet-ist-wieder-online" TargetMode="External"/><Relationship Id="rId14" Type="http://schemas.openxmlformats.org/officeDocument/2006/relationships/hyperlink" Target="https://therecord.media/germany-ransomware-haw-hamburg-vice-socie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5" t="s">
        <v>3</v>
      </c>
    </row>
    <row r="6" customFormat="false" ht="39.55" hidden="false" customHeight="false" outlineLevel="0" collapsed="false">
      <c r="A6" s="5" t="s">
        <v>4</v>
      </c>
    </row>
    <row r="7" customFormat="false" ht="26.85" hidden="false" customHeight="false" outlineLevel="0" collapsed="false">
      <c r="A7" s="5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26.8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26.85" hidden="false" customHeight="false" outlineLevel="0" collapsed="false">
      <c r="A17" s="5" t="s">
        <v>13</v>
      </c>
    </row>
    <row r="18" customFormat="false" ht="26.85" hidden="false" customHeight="false" outlineLevel="0" collapsed="false">
      <c r="A18" s="5" t="s">
        <v>14</v>
      </c>
    </row>
    <row r="19" customFormat="false" ht="26.8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32"/>
    <col collapsed="false" customWidth="true" hidden="false" outlineLevel="0" max="12" min="12" style="0" width="42"/>
    <col collapsed="false" customWidth="true" hidden="false" outlineLevel="0" max="13" min="13" style="0" width="12"/>
    <col collapsed="false" customWidth="true" hidden="false" outlineLevel="0" max="14" min="14" style="0" width="42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1" min="20" style="0" width="10"/>
    <col collapsed="false" customWidth="true" hidden="false" outlineLevel="0" max="22" min="22" style="0" width="11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7" t="s">
        <v>0</v>
      </c>
    </row>
    <row r="2" customFormat="false" ht="15" hidden="false" customHeight="false" outlineLevel="0" collapsed="false">
      <c r="A2" s="8" t="s">
        <v>18</v>
      </c>
    </row>
    <row r="4" customFormat="false" ht="45" hidden="false" customHeight="true" outlineLevel="0" collapsed="false">
      <c r="A4" s="9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10" t="s">
        <v>27</v>
      </c>
      <c r="J4" s="10" t="s">
        <v>28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  <c r="P4" s="9" t="s">
        <v>34</v>
      </c>
      <c r="Q4" s="10" t="s">
        <v>35</v>
      </c>
      <c r="R4" s="10" t="s">
        <v>36</v>
      </c>
      <c r="S4" s="9" t="s">
        <v>37</v>
      </c>
      <c r="T4" s="9" t="s">
        <v>38</v>
      </c>
      <c r="U4" s="10" t="s">
        <v>39</v>
      </c>
      <c r="V4" s="10" t="s">
        <v>40</v>
      </c>
      <c r="W4" s="9" t="s">
        <v>41</v>
      </c>
    </row>
    <row r="5" customFormat="false" ht="52.2" hidden="false" customHeight="false" outlineLevel="0" collapsed="false">
      <c r="A5" s="11" t="s">
        <v>42</v>
      </c>
      <c r="B5" s="12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1" t="n">
        <v>4</v>
      </c>
      <c r="H5" s="11" t="n">
        <v>5</v>
      </c>
      <c r="I5" s="13" t="n">
        <f aca="false">G5*H5</f>
        <v>20</v>
      </c>
      <c r="J5" s="14" t="str">
        <f aca="false">IF(I5="","",IF(I5&gt;='Scoring Method'!$B$16,"Critical",IF(I5&gt;='Scoring Method'!$B$15,"High",IF(I5&gt;='Scoring Method'!$B$14,"Medium","Low"))))</f>
        <v>Critical</v>
      </c>
      <c r="K5" s="12" t="s">
        <v>48</v>
      </c>
      <c r="L5" s="12" t="s">
        <v>49</v>
      </c>
      <c r="M5" s="11" t="s">
        <v>50</v>
      </c>
      <c r="N5" s="12" t="s">
        <v>51</v>
      </c>
      <c r="O5" s="11" t="s">
        <v>52</v>
      </c>
      <c r="P5" s="15" t="n">
        <v>46387</v>
      </c>
      <c r="Q5" s="13" t="n">
        <f aca="true">IF(OR(O5="Closed",O5="Accepted",P5=""),0,MAX(0,TODAY()-P5))</f>
        <v>0</v>
      </c>
      <c r="R5" s="14" t="str">
        <f aca="false">IF(Q5&gt;0,"Yes","No")</f>
        <v>No</v>
      </c>
      <c r="S5" s="11" t="n">
        <v>2</v>
      </c>
      <c r="T5" s="11" t="n">
        <v>4</v>
      </c>
      <c r="U5" s="13" t="n">
        <f aca="false">S5*T5</f>
        <v>8</v>
      </c>
      <c r="V5" s="14" t="str">
        <f aca="false">IF(U5="","",IF(U5&gt;='Scoring Method'!$B$16,"Critical",IF(U5&gt;='Scoring Method'!$B$15,"High",IF(U5&gt;='Scoring Method'!$B$14,"Medium","Low"))))</f>
        <v>Medium</v>
      </c>
      <c r="W5" s="15" t="n">
        <v>46295</v>
      </c>
    </row>
    <row r="6" customFormat="false" ht="52.2" hidden="false" customHeight="false" outlineLevel="0" collapsed="false">
      <c r="A6" s="11" t="s">
        <v>53</v>
      </c>
      <c r="B6" s="12" t="s">
        <v>54</v>
      </c>
      <c r="C6" s="12" t="s">
        <v>55</v>
      </c>
      <c r="D6" s="12" t="s">
        <v>56</v>
      </c>
      <c r="E6" s="12" t="s">
        <v>46</v>
      </c>
      <c r="F6" s="12" t="s">
        <v>57</v>
      </c>
      <c r="G6" s="11" t="n">
        <v>5</v>
      </c>
      <c r="H6" s="11" t="n">
        <v>3</v>
      </c>
      <c r="I6" s="13" t="n">
        <f aca="false">G6*H6</f>
        <v>15</v>
      </c>
      <c r="J6" s="14" t="str">
        <f aca="false">IF(I6="","",IF(I6&gt;='Scoring Method'!$B$16,"Critical",IF(I6&gt;='Scoring Method'!$B$15,"High",IF(I6&gt;='Scoring Method'!$B$14,"Medium","Low"))))</f>
        <v>Critical</v>
      </c>
      <c r="K6" s="12" t="s">
        <v>58</v>
      </c>
      <c r="L6" s="12" t="s">
        <v>59</v>
      </c>
      <c r="M6" s="11" t="s">
        <v>50</v>
      </c>
      <c r="N6" s="12" t="s">
        <v>60</v>
      </c>
      <c r="O6" s="11" t="s">
        <v>52</v>
      </c>
      <c r="P6" s="15" t="n">
        <v>46295</v>
      </c>
      <c r="Q6" s="13" t="n">
        <f aca="true">IF(OR(O6="Closed",O6="Accepted",P6=""),0,MAX(0,TODAY()-P6))</f>
        <v>8</v>
      </c>
      <c r="R6" s="14" t="str">
        <f aca="false">IF(Q6&gt;0,"Yes","No")</f>
        <v>Yes</v>
      </c>
      <c r="S6" s="11" t="n">
        <v>3</v>
      </c>
      <c r="T6" s="11" t="n">
        <v>2</v>
      </c>
      <c r="U6" s="13" t="n">
        <f aca="false">S6*T6</f>
        <v>6</v>
      </c>
      <c r="V6" s="14" t="str">
        <f aca="false">IF(U6="","",IF(U6&gt;='Scoring Method'!$B$16,"Critical",IF(U6&gt;='Scoring Method'!$B$15,"High",IF(U6&gt;='Scoring Method'!$B$14,"Medium","Low"))))</f>
        <v>Medium</v>
      </c>
      <c r="W6" s="15" t="n">
        <v>46295</v>
      </c>
    </row>
    <row r="7" customFormat="false" ht="52.2" hidden="false" customHeight="false" outlineLevel="0" collapsed="false">
      <c r="A7" s="11" t="s">
        <v>61</v>
      </c>
      <c r="B7" s="12" t="s">
        <v>62</v>
      </c>
      <c r="C7" s="12" t="s">
        <v>63</v>
      </c>
      <c r="D7" s="12" t="s">
        <v>64</v>
      </c>
      <c r="E7" s="12" t="s">
        <v>65</v>
      </c>
      <c r="F7" s="12" t="s">
        <v>66</v>
      </c>
      <c r="G7" s="11" t="n">
        <v>3</v>
      </c>
      <c r="H7" s="11" t="n">
        <v>5</v>
      </c>
      <c r="I7" s="13" t="n">
        <f aca="false">G7*H7</f>
        <v>15</v>
      </c>
      <c r="J7" s="14" t="str">
        <f aca="false">IF(I7="","",IF(I7&gt;='Scoring Method'!$B$16,"Critical",IF(I7&gt;='Scoring Method'!$B$15,"High",IF(I7&gt;='Scoring Method'!$B$14,"Medium","Low"))))</f>
        <v>Critical</v>
      </c>
      <c r="K7" s="12" t="s">
        <v>67</v>
      </c>
      <c r="L7" s="12" t="s">
        <v>68</v>
      </c>
      <c r="M7" s="11" t="s">
        <v>50</v>
      </c>
      <c r="N7" s="12" t="s">
        <v>69</v>
      </c>
      <c r="O7" s="11" t="s">
        <v>70</v>
      </c>
      <c r="P7" s="15" t="n">
        <v>46477</v>
      </c>
      <c r="Q7" s="13" t="n">
        <f aca="true">IF(OR(O7="Closed",O7="Accepted",P7=""),0,MAX(0,TODAY()-P7))</f>
        <v>0</v>
      </c>
      <c r="R7" s="14" t="str">
        <f aca="false">IF(Q7&gt;0,"Yes","No")</f>
        <v>No</v>
      </c>
      <c r="S7" s="11" t="n">
        <v>2</v>
      </c>
      <c r="T7" s="11" t="n">
        <v>4</v>
      </c>
      <c r="U7" s="13" t="n">
        <f aca="false">S7*T7</f>
        <v>8</v>
      </c>
      <c r="V7" s="14" t="str">
        <f aca="false">IF(U7="","",IF(U7&gt;='Scoring Method'!$B$16,"Critical",IF(U7&gt;='Scoring Method'!$B$15,"High",IF(U7&gt;='Scoring Method'!$B$14,"Medium","Low"))))</f>
        <v>Medium</v>
      </c>
      <c r="W7" s="15" t="n">
        <v>46295</v>
      </c>
    </row>
    <row r="8" customFormat="false" ht="52.2" hidden="false" customHeight="false" outlineLevel="0" collapsed="false">
      <c r="A8" s="11" t="s">
        <v>71</v>
      </c>
      <c r="B8" s="12" t="s">
        <v>72</v>
      </c>
      <c r="C8" s="12" t="s">
        <v>73</v>
      </c>
      <c r="D8" s="12" t="s">
        <v>74</v>
      </c>
      <c r="E8" s="12" t="s">
        <v>75</v>
      </c>
      <c r="F8" s="12" t="s">
        <v>57</v>
      </c>
      <c r="G8" s="11" t="n">
        <v>4</v>
      </c>
      <c r="H8" s="11" t="n">
        <v>3</v>
      </c>
      <c r="I8" s="13" t="n">
        <f aca="false">G8*H8</f>
        <v>12</v>
      </c>
      <c r="J8" s="14" t="str">
        <f aca="false">IF(I8="","",IF(I8&gt;='Scoring Method'!$B$16,"Critical",IF(I8&gt;='Scoring Method'!$B$15,"High",IF(I8&gt;='Scoring Method'!$B$14,"Medium","Low"))))</f>
        <v>High</v>
      </c>
      <c r="K8" s="12" t="s">
        <v>76</v>
      </c>
      <c r="L8" s="12" t="s">
        <v>77</v>
      </c>
      <c r="M8" s="11" t="s">
        <v>50</v>
      </c>
      <c r="N8" s="12" t="s">
        <v>78</v>
      </c>
      <c r="O8" s="11" t="s">
        <v>52</v>
      </c>
      <c r="P8" s="15" t="n">
        <v>46265</v>
      </c>
      <c r="Q8" s="13" t="n">
        <f aca="true">IF(OR(O8="Closed",O8="Accepted",P8=""),0,MAX(0,TODAY()-P8))</f>
        <v>38</v>
      </c>
      <c r="R8" s="14" t="str">
        <f aca="false">IF(Q8&gt;0,"Yes","No")</f>
        <v>Yes</v>
      </c>
      <c r="S8" s="11" t="n">
        <v>2</v>
      </c>
      <c r="T8" s="11" t="n">
        <v>2</v>
      </c>
      <c r="U8" s="13" t="n">
        <f aca="false">S8*T8</f>
        <v>4</v>
      </c>
      <c r="V8" s="14" t="str">
        <f aca="false">IF(U8="","",IF(U8&gt;='Scoring Method'!$B$16,"Critical",IF(U8&gt;='Scoring Method'!$B$15,"High",IF(U8&gt;='Scoring Method'!$B$14,"Medium","Low"))))</f>
        <v>Low</v>
      </c>
      <c r="W8" s="15" t="n">
        <v>46295</v>
      </c>
    </row>
    <row r="9" customFormat="false" ht="52.2" hidden="false" customHeight="false" outlineLevel="0" collapsed="false">
      <c r="A9" s="11" t="s">
        <v>79</v>
      </c>
      <c r="B9" s="12" t="s">
        <v>80</v>
      </c>
      <c r="C9" s="12" t="s">
        <v>81</v>
      </c>
      <c r="D9" s="12" t="s">
        <v>82</v>
      </c>
      <c r="E9" s="12" t="s">
        <v>83</v>
      </c>
      <c r="F9" s="12" t="s">
        <v>47</v>
      </c>
      <c r="G9" s="11" t="n">
        <v>2</v>
      </c>
      <c r="H9" s="11" t="n">
        <v>4</v>
      </c>
      <c r="I9" s="13" t="n">
        <f aca="false">G9*H9</f>
        <v>8</v>
      </c>
      <c r="J9" s="14" t="str">
        <f aca="false">IF(I9="","",IF(I9&gt;='Scoring Method'!$B$16,"Critical",IF(I9&gt;='Scoring Method'!$B$15,"High",IF(I9&gt;='Scoring Method'!$B$14,"Medium","Low"))))</f>
        <v>Medium</v>
      </c>
      <c r="K9" s="12" t="s">
        <v>84</v>
      </c>
      <c r="L9" s="12" t="s">
        <v>85</v>
      </c>
      <c r="M9" s="11" t="s">
        <v>50</v>
      </c>
      <c r="N9" s="12" t="s">
        <v>86</v>
      </c>
      <c r="O9" s="11" t="s">
        <v>87</v>
      </c>
      <c r="P9" s="15" t="n">
        <v>46418</v>
      </c>
      <c r="Q9" s="13" t="n">
        <f aca="true">IF(OR(O9="Closed",O9="Accepted",P9=""),0,MAX(0,TODAY()-P9))</f>
        <v>0</v>
      </c>
      <c r="R9" s="14" t="str">
        <f aca="false">IF(Q9&gt;0,"Yes","No")</f>
        <v>No</v>
      </c>
      <c r="S9" s="11" t="n">
        <v>2</v>
      </c>
      <c r="T9" s="11" t="n">
        <v>3</v>
      </c>
      <c r="U9" s="13" t="n">
        <f aca="false">S9*T9</f>
        <v>6</v>
      </c>
      <c r="V9" s="14" t="str">
        <f aca="false">IF(U9="","",IF(U9&gt;='Scoring Method'!$B$16,"Critical",IF(U9&gt;='Scoring Method'!$B$15,"High",IF(U9&gt;='Scoring Method'!$B$14,"Medium","Low"))))</f>
        <v>Medium</v>
      </c>
      <c r="W9" s="15" t="n">
        <v>46295</v>
      </c>
    </row>
    <row r="10" customFormat="false" ht="39.55" hidden="false" customHeight="false" outlineLevel="0" collapsed="false">
      <c r="A10" s="11" t="s">
        <v>88</v>
      </c>
      <c r="B10" s="12" t="s">
        <v>89</v>
      </c>
      <c r="C10" s="12" t="s">
        <v>90</v>
      </c>
      <c r="D10" s="12" t="s">
        <v>91</v>
      </c>
      <c r="E10" s="12" t="s">
        <v>92</v>
      </c>
      <c r="F10" s="12" t="s">
        <v>57</v>
      </c>
      <c r="G10" s="11" t="n">
        <v>4</v>
      </c>
      <c r="H10" s="11" t="n">
        <v>4</v>
      </c>
      <c r="I10" s="13" t="n">
        <f aca="false">G10*H10</f>
        <v>16</v>
      </c>
      <c r="J10" s="14" t="str">
        <f aca="false">IF(I10="","",IF(I10&gt;='Scoring Method'!$B$16,"Critical",IF(I10&gt;='Scoring Method'!$B$15,"High",IF(I10&gt;='Scoring Method'!$B$14,"Medium","Low"))))</f>
        <v>Critical</v>
      </c>
      <c r="K10" s="12" t="s">
        <v>93</v>
      </c>
      <c r="L10" s="12" t="s">
        <v>94</v>
      </c>
      <c r="M10" s="11" t="s">
        <v>50</v>
      </c>
      <c r="N10" s="12" t="s">
        <v>95</v>
      </c>
      <c r="O10" s="11" t="s">
        <v>87</v>
      </c>
      <c r="P10" s="15" t="n">
        <v>46234</v>
      </c>
      <c r="Q10" s="13" t="n">
        <f aca="true">IF(OR(O10="Closed",O10="Accepted",P10=""),0,MAX(0,TODAY()-P10))</f>
        <v>69</v>
      </c>
      <c r="R10" s="14" t="str">
        <f aca="false">IF(Q10&gt;0,"Yes","No")</f>
        <v>Yes</v>
      </c>
      <c r="S10" s="11" t="n">
        <v>2</v>
      </c>
      <c r="T10" s="11" t="n">
        <v>3</v>
      </c>
      <c r="U10" s="13" t="n">
        <f aca="false">S10*T10</f>
        <v>6</v>
      </c>
      <c r="V10" s="14" t="str">
        <f aca="false">IF(U10="","",IF(U10&gt;='Scoring Method'!$B$16,"Critical",IF(U10&gt;='Scoring Method'!$B$15,"High",IF(U10&gt;='Scoring Method'!$B$14,"Medium","Low"))))</f>
        <v>Medium</v>
      </c>
      <c r="W10" s="15" t="n">
        <v>46295</v>
      </c>
    </row>
    <row r="11" customFormat="false" ht="52.2" hidden="false" customHeight="false" outlineLevel="0" collapsed="false">
      <c r="A11" s="11" t="s">
        <v>96</v>
      </c>
      <c r="B11" s="12" t="s">
        <v>97</v>
      </c>
      <c r="C11" s="12" t="s">
        <v>98</v>
      </c>
      <c r="D11" s="12" t="s">
        <v>99</v>
      </c>
      <c r="E11" s="12" t="s">
        <v>100</v>
      </c>
      <c r="F11" s="12" t="s">
        <v>101</v>
      </c>
      <c r="G11" s="11" t="n">
        <v>2</v>
      </c>
      <c r="H11" s="11" t="n">
        <v>4</v>
      </c>
      <c r="I11" s="13" t="n">
        <f aca="false">G11*H11</f>
        <v>8</v>
      </c>
      <c r="J11" s="14" t="str">
        <f aca="false">IF(I11="","",IF(I11&gt;='Scoring Method'!$B$16,"Critical",IF(I11&gt;='Scoring Method'!$B$15,"High",IF(I11&gt;='Scoring Method'!$B$14,"Medium","Low"))))</f>
        <v>Medium</v>
      </c>
      <c r="K11" s="12" t="s">
        <v>102</v>
      </c>
      <c r="L11" s="12" t="s">
        <v>103</v>
      </c>
      <c r="M11" s="11" t="s">
        <v>50</v>
      </c>
      <c r="N11" s="12" t="s">
        <v>104</v>
      </c>
      <c r="O11" s="11" t="s">
        <v>70</v>
      </c>
      <c r="P11" s="15" t="n">
        <v>46446</v>
      </c>
      <c r="Q11" s="13" t="n">
        <f aca="true">IF(OR(O11="Closed",O11="Accepted",P11=""),0,MAX(0,TODAY()-P11))</f>
        <v>0</v>
      </c>
      <c r="R11" s="14" t="str">
        <f aca="false">IF(Q11&gt;0,"Yes","No")</f>
        <v>No</v>
      </c>
      <c r="S11" s="11" t="n">
        <v>1</v>
      </c>
      <c r="T11" s="11" t="n">
        <v>3</v>
      </c>
      <c r="U11" s="13" t="n">
        <f aca="false">S11*T11</f>
        <v>3</v>
      </c>
      <c r="V11" s="14" t="str">
        <f aca="false">IF(U11="","",IF(U11&gt;='Scoring Method'!$B$16,"Critical",IF(U11&gt;='Scoring Method'!$B$15,"High",IF(U11&gt;='Scoring Method'!$B$14,"Medium","Low"))))</f>
        <v>Low</v>
      </c>
      <c r="W11" s="15" t="n">
        <v>46295</v>
      </c>
    </row>
    <row r="12" customFormat="false" ht="39.55" hidden="false" customHeight="false" outlineLevel="0" collapsed="false">
      <c r="A12" s="11" t="s">
        <v>105</v>
      </c>
      <c r="B12" s="12" t="s">
        <v>106</v>
      </c>
      <c r="C12" s="12" t="s">
        <v>107</v>
      </c>
      <c r="D12" s="12" t="s">
        <v>108</v>
      </c>
      <c r="E12" s="12" t="s">
        <v>109</v>
      </c>
      <c r="F12" s="12" t="s">
        <v>47</v>
      </c>
      <c r="G12" s="11" t="n">
        <v>2</v>
      </c>
      <c r="H12" s="11" t="n">
        <v>5</v>
      </c>
      <c r="I12" s="13" t="n">
        <f aca="false">G12*H12</f>
        <v>10</v>
      </c>
      <c r="J12" s="14" t="str">
        <f aca="false">IF(I12="","",IF(I12&gt;='Scoring Method'!$B$16,"Critical",IF(I12&gt;='Scoring Method'!$B$15,"High",IF(I12&gt;='Scoring Method'!$B$14,"Medium","Low"))))</f>
        <v>High</v>
      </c>
      <c r="K12" s="12" t="s">
        <v>110</v>
      </c>
      <c r="L12" s="12" t="s">
        <v>111</v>
      </c>
      <c r="M12" s="11" t="s">
        <v>50</v>
      </c>
      <c r="N12" s="12" t="s">
        <v>112</v>
      </c>
      <c r="O12" s="11" t="s">
        <v>87</v>
      </c>
      <c r="P12" s="15" t="n">
        <v>46477</v>
      </c>
      <c r="Q12" s="13" t="n">
        <f aca="true">IF(OR(O12="Closed",O12="Accepted",P12=""),0,MAX(0,TODAY()-P12))</f>
        <v>0</v>
      </c>
      <c r="R12" s="14" t="str">
        <f aca="false">IF(Q12&gt;0,"Yes","No")</f>
        <v>No</v>
      </c>
      <c r="S12" s="11" t="n">
        <v>1</v>
      </c>
      <c r="T12" s="11" t="n">
        <v>4</v>
      </c>
      <c r="U12" s="13" t="n">
        <f aca="false">S12*T12</f>
        <v>4</v>
      </c>
      <c r="V12" s="14" t="str">
        <f aca="false">IF(U12="","",IF(U12&gt;='Scoring Method'!$B$16,"Critical",IF(U12&gt;='Scoring Method'!$B$15,"High",IF(U12&gt;='Scoring Method'!$B$14,"Medium","Low"))))</f>
        <v>Low</v>
      </c>
      <c r="W12" s="15" t="n">
        <v>46295</v>
      </c>
    </row>
    <row r="13" customFormat="false" ht="39.55" hidden="false" customHeight="false" outlineLevel="0" collapsed="false">
      <c r="A13" s="11" t="s">
        <v>113</v>
      </c>
      <c r="B13" s="12" t="s">
        <v>114</v>
      </c>
      <c r="C13" s="12" t="s">
        <v>115</v>
      </c>
      <c r="D13" s="12" t="s">
        <v>116</v>
      </c>
      <c r="E13" s="12" t="s">
        <v>109</v>
      </c>
      <c r="F13" s="12" t="s">
        <v>117</v>
      </c>
      <c r="G13" s="11" t="n">
        <v>4</v>
      </c>
      <c r="H13" s="11" t="n">
        <v>3</v>
      </c>
      <c r="I13" s="13" t="n">
        <f aca="false">G13*H13</f>
        <v>12</v>
      </c>
      <c r="J13" s="14" t="str">
        <f aca="false">IF(I13="","",IF(I13&gt;='Scoring Method'!$B$16,"Critical",IF(I13&gt;='Scoring Method'!$B$15,"High",IF(I13&gt;='Scoring Method'!$B$14,"Medium","Low"))))</f>
        <v>High</v>
      </c>
      <c r="K13" s="12" t="s">
        <v>118</v>
      </c>
      <c r="L13" s="12" t="s">
        <v>119</v>
      </c>
      <c r="M13" s="11" t="s">
        <v>50</v>
      </c>
      <c r="N13" s="12" t="s">
        <v>120</v>
      </c>
      <c r="O13" s="11" t="s">
        <v>52</v>
      </c>
      <c r="P13" s="15" t="n">
        <v>46356</v>
      </c>
      <c r="Q13" s="13" t="n">
        <f aca="true">IF(OR(O13="Closed",O13="Accepted",P13=""),0,MAX(0,TODAY()-P13))</f>
        <v>0</v>
      </c>
      <c r="R13" s="14" t="str">
        <f aca="false">IF(Q13&gt;0,"Yes","No")</f>
        <v>No</v>
      </c>
      <c r="S13" s="11" t="n">
        <v>2</v>
      </c>
      <c r="T13" s="11" t="n">
        <v>2</v>
      </c>
      <c r="U13" s="13" t="n">
        <f aca="false">S13*T13</f>
        <v>4</v>
      </c>
      <c r="V13" s="14" t="str">
        <f aca="false">IF(U13="","",IF(U13&gt;='Scoring Method'!$B$16,"Critical",IF(U13&gt;='Scoring Method'!$B$15,"High",IF(U13&gt;='Scoring Method'!$B$14,"Medium","Low"))))</f>
        <v>Low</v>
      </c>
      <c r="W13" s="15" t="n">
        <v>46295</v>
      </c>
    </row>
    <row r="14" customFormat="false" ht="26.85" hidden="false" customHeight="false" outlineLevel="0" collapsed="false">
      <c r="A14" s="11" t="s">
        <v>121</v>
      </c>
      <c r="B14" s="12" t="s">
        <v>122</v>
      </c>
      <c r="C14" s="12" t="s">
        <v>123</v>
      </c>
      <c r="D14" s="12" t="s">
        <v>124</v>
      </c>
      <c r="E14" s="12" t="s">
        <v>65</v>
      </c>
      <c r="F14" s="12" t="s">
        <v>125</v>
      </c>
      <c r="G14" s="11" t="n">
        <v>3</v>
      </c>
      <c r="H14" s="11" t="n">
        <v>4</v>
      </c>
      <c r="I14" s="13" t="n">
        <f aca="false">G14*H14</f>
        <v>12</v>
      </c>
      <c r="J14" s="14" t="str">
        <f aca="false">IF(I14="","",IF(I14&gt;='Scoring Method'!$B$16,"Critical",IF(I14&gt;='Scoring Method'!$B$15,"High",IF(I14&gt;='Scoring Method'!$B$14,"Medium","Low"))))</f>
        <v>High</v>
      </c>
      <c r="K14" s="12" t="s">
        <v>126</v>
      </c>
      <c r="L14" s="12" t="s">
        <v>127</v>
      </c>
      <c r="M14" s="11" t="s">
        <v>50</v>
      </c>
      <c r="N14" s="12" t="s">
        <v>128</v>
      </c>
      <c r="O14" s="11" t="s">
        <v>70</v>
      </c>
      <c r="P14" s="15" t="n">
        <v>46418</v>
      </c>
      <c r="Q14" s="13" t="n">
        <f aca="true">IF(OR(O14="Closed",O14="Accepted",P14=""),0,MAX(0,TODAY()-P14))</f>
        <v>0</v>
      </c>
      <c r="R14" s="14" t="str">
        <f aca="false">IF(Q14&gt;0,"Yes","No")</f>
        <v>No</v>
      </c>
      <c r="S14" s="11" t="n">
        <v>2</v>
      </c>
      <c r="T14" s="11" t="n">
        <v>3</v>
      </c>
      <c r="U14" s="13" t="n">
        <f aca="false">S14*T14</f>
        <v>6</v>
      </c>
      <c r="V14" s="14" t="str">
        <f aca="false">IF(U14="","",IF(U14&gt;='Scoring Method'!$B$16,"Critical",IF(U14&gt;='Scoring Method'!$B$15,"High",IF(U14&gt;='Scoring Method'!$B$14,"Medium","Low"))))</f>
        <v>Medium</v>
      </c>
      <c r="W14" s="15" t="n">
        <v>46295</v>
      </c>
    </row>
    <row r="15" customFormat="false" ht="39.55" hidden="false" customHeight="false" outlineLevel="0" collapsed="false">
      <c r="A15" s="11" t="s">
        <v>129</v>
      </c>
      <c r="B15" s="12" t="s">
        <v>130</v>
      </c>
      <c r="C15" s="12" t="s">
        <v>131</v>
      </c>
      <c r="D15" s="12" t="s">
        <v>132</v>
      </c>
      <c r="E15" s="12" t="s">
        <v>46</v>
      </c>
      <c r="F15" s="12" t="s">
        <v>66</v>
      </c>
      <c r="G15" s="11" t="n">
        <v>3</v>
      </c>
      <c r="H15" s="11" t="n">
        <v>4</v>
      </c>
      <c r="I15" s="13" t="n">
        <f aca="false">G15*H15</f>
        <v>12</v>
      </c>
      <c r="J15" s="14" t="str">
        <f aca="false">IF(I15="","",IF(I15&gt;='Scoring Method'!$B$16,"Critical",IF(I15&gt;='Scoring Method'!$B$15,"High",IF(I15&gt;='Scoring Method'!$B$14,"Medium","Low"))))</f>
        <v>High</v>
      </c>
      <c r="K15" s="12" t="s">
        <v>133</v>
      </c>
      <c r="L15" s="12" t="s">
        <v>134</v>
      </c>
      <c r="M15" s="11" t="s">
        <v>50</v>
      </c>
      <c r="N15" s="12" t="s">
        <v>135</v>
      </c>
      <c r="O15" s="11" t="s">
        <v>87</v>
      </c>
      <c r="P15" s="15" t="n">
        <v>46568</v>
      </c>
      <c r="Q15" s="13" t="n">
        <f aca="true">IF(OR(O15="Closed",O15="Accepted",P15=""),0,MAX(0,TODAY()-P15))</f>
        <v>0</v>
      </c>
      <c r="R15" s="14" t="str">
        <f aca="false">IF(Q15&gt;0,"Yes","No")</f>
        <v>No</v>
      </c>
      <c r="S15" s="11" t="n">
        <v>2</v>
      </c>
      <c r="T15" s="11" t="n">
        <v>3</v>
      </c>
      <c r="U15" s="13" t="n">
        <f aca="false">S15*T15</f>
        <v>6</v>
      </c>
      <c r="V15" s="14" t="str">
        <f aca="false">IF(U15="","",IF(U15&gt;='Scoring Method'!$B$16,"Critical",IF(U15&gt;='Scoring Method'!$B$15,"High",IF(U15&gt;='Scoring Method'!$B$14,"Medium","Low"))))</f>
        <v>Medium</v>
      </c>
      <c r="W15" s="15" t="n">
        <v>46295</v>
      </c>
    </row>
    <row r="16" customFormat="false" ht="39.55" hidden="false" customHeight="false" outlineLevel="0" collapsed="false">
      <c r="A16" s="11" t="s">
        <v>136</v>
      </c>
      <c r="B16" s="12" t="s">
        <v>137</v>
      </c>
      <c r="C16" s="12" t="s">
        <v>138</v>
      </c>
      <c r="D16" s="12" t="s">
        <v>139</v>
      </c>
      <c r="E16" s="12" t="s">
        <v>140</v>
      </c>
      <c r="F16" s="12" t="s">
        <v>141</v>
      </c>
      <c r="G16" s="11" t="n">
        <v>2</v>
      </c>
      <c r="H16" s="11" t="n">
        <v>5</v>
      </c>
      <c r="I16" s="13" t="n">
        <f aca="false">G16*H16</f>
        <v>10</v>
      </c>
      <c r="J16" s="14" t="str">
        <f aca="false">IF(I16="","",IF(I16&gt;='Scoring Method'!$B$16,"Critical",IF(I16&gt;='Scoring Method'!$B$15,"High",IF(I16&gt;='Scoring Method'!$B$14,"Medium","Low"))))</f>
        <v>High</v>
      </c>
      <c r="K16" s="12" t="s">
        <v>142</v>
      </c>
      <c r="L16" s="12" t="s">
        <v>143</v>
      </c>
      <c r="M16" s="11" t="s">
        <v>50</v>
      </c>
      <c r="N16" s="12" t="s">
        <v>144</v>
      </c>
      <c r="O16" s="11" t="s">
        <v>52</v>
      </c>
      <c r="P16" s="15" t="n">
        <v>46326</v>
      </c>
      <c r="Q16" s="13" t="n">
        <f aca="true">IF(OR(O16="Closed",O16="Accepted",P16=""),0,MAX(0,TODAY()-P16))</f>
        <v>0</v>
      </c>
      <c r="R16" s="14" t="str">
        <f aca="false">IF(Q16&gt;0,"Yes","No")</f>
        <v>No</v>
      </c>
      <c r="S16" s="11" t="n">
        <v>1</v>
      </c>
      <c r="T16" s="11" t="n">
        <v>4</v>
      </c>
      <c r="U16" s="13" t="n">
        <f aca="false">S16*T16</f>
        <v>4</v>
      </c>
      <c r="V16" s="14" t="str">
        <f aca="false">IF(U16="","",IF(U16&gt;='Scoring Method'!$B$16,"Critical",IF(U16&gt;='Scoring Method'!$B$15,"High",IF(U16&gt;='Scoring Method'!$B$14,"Medium","Low"))))</f>
        <v>Low</v>
      </c>
      <c r="W16" s="15" t="n">
        <v>46295</v>
      </c>
    </row>
    <row r="17" customFormat="false" ht="26.85" hidden="false" customHeight="false" outlineLevel="0" collapsed="false">
      <c r="A17" s="11" t="s">
        <v>145</v>
      </c>
      <c r="B17" s="12" t="s">
        <v>146</v>
      </c>
      <c r="C17" s="12" t="s">
        <v>147</v>
      </c>
      <c r="D17" s="12" t="s">
        <v>148</v>
      </c>
      <c r="E17" s="12" t="s">
        <v>46</v>
      </c>
      <c r="F17" s="12" t="s">
        <v>47</v>
      </c>
      <c r="G17" s="11" t="n">
        <v>3</v>
      </c>
      <c r="H17" s="11" t="n">
        <v>3</v>
      </c>
      <c r="I17" s="13" t="n">
        <f aca="false">G17*H17</f>
        <v>9</v>
      </c>
      <c r="J17" s="14" t="str">
        <f aca="false">IF(I17="","",IF(I17&gt;='Scoring Method'!$B$16,"Critical",IF(I17&gt;='Scoring Method'!$B$15,"High",IF(I17&gt;='Scoring Method'!$B$14,"Medium","Low"))))</f>
        <v>Medium</v>
      </c>
      <c r="K17" s="12" t="s">
        <v>149</v>
      </c>
      <c r="L17" s="12" t="s">
        <v>150</v>
      </c>
      <c r="M17" s="11" t="s">
        <v>151</v>
      </c>
      <c r="N17" s="12" t="s">
        <v>152</v>
      </c>
      <c r="O17" s="11" t="s">
        <v>153</v>
      </c>
      <c r="P17" s="15" t="n">
        <v>46203</v>
      </c>
      <c r="Q17" s="13" t="n">
        <f aca="true">IF(OR(O17="Closed",O17="Accepted",P17=""),0,MAX(0,TODAY()-P17))</f>
        <v>0</v>
      </c>
      <c r="R17" s="14" t="str">
        <f aca="false">IF(Q17&gt;0,"Yes","No")</f>
        <v>No</v>
      </c>
      <c r="S17" s="11" t="n">
        <v>3</v>
      </c>
      <c r="T17" s="11" t="n">
        <v>3</v>
      </c>
      <c r="U17" s="13" t="n">
        <f aca="false">S17*T17</f>
        <v>9</v>
      </c>
      <c r="V17" s="14" t="str">
        <f aca="false">IF(U17="","",IF(U17&gt;='Scoring Method'!$B$16,"Critical",IF(U17&gt;='Scoring Method'!$B$15,"High",IF(U17&gt;='Scoring Method'!$B$14,"Medium","Low"))))</f>
        <v>Medium</v>
      </c>
      <c r="W17" s="15" t="n">
        <v>46295</v>
      </c>
    </row>
    <row r="18" customFormat="false" ht="52.2" hidden="false" customHeight="false" outlineLevel="0" collapsed="false">
      <c r="A18" s="11" t="s">
        <v>154</v>
      </c>
      <c r="B18" s="12" t="s">
        <v>155</v>
      </c>
      <c r="C18" s="12" t="s">
        <v>156</v>
      </c>
      <c r="D18" s="12" t="s">
        <v>157</v>
      </c>
      <c r="E18" s="12" t="s">
        <v>92</v>
      </c>
      <c r="F18" s="12" t="s">
        <v>57</v>
      </c>
      <c r="G18" s="11" t="n">
        <v>3</v>
      </c>
      <c r="H18" s="11" t="n">
        <v>3</v>
      </c>
      <c r="I18" s="13" t="n">
        <f aca="false">G18*H18</f>
        <v>9</v>
      </c>
      <c r="J18" s="14" t="str">
        <f aca="false">IF(I18="","",IF(I18&gt;='Scoring Method'!$B$16,"Critical",IF(I18&gt;='Scoring Method'!$B$15,"High",IF(I18&gt;='Scoring Method'!$B$14,"Medium","Low"))))</f>
        <v>Medium</v>
      </c>
      <c r="K18" s="12" t="s">
        <v>158</v>
      </c>
      <c r="L18" s="12" t="s">
        <v>159</v>
      </c>
      <c r="M18" s="11" t="s">
        <v>50</v>
      </c>
      <c r="N18" s="12" t="s">
        <v>160</v>
      </c>
      <c r="O18" s="11" t="s">
        <v>70</v>
      </c>
      <c r="P18" s="15" t="n">
        <v>46507</v>
      </c>
      <c r="Q18" s="13" t="n">
        <f aca="true">IF(OR(O18="Closed",O18="Accepted",P18=""),0,MAX(0,TODAY()-P18))</f>
        <v>0</v>
      </c>
      <c r="R18" s="14" t="str">
        <f aca="false">IF(Q18&gt;0,"Yes","No")</f>
        <v>No</v>
      </c>
      <c r="S18" s="11" t="n">
        <v>2</v>
      </c>
      <c r="T18" s="11" t="n">
        <v>2</v>
      </c>
      <c r="U18" s="13" t="n">
        <f aca="false">S18*T18</f>
        <v>4</v>
      </c>
      <c r="V18" s="14" t="str">
        <f aca="false">IF(U18="","",IF(U18&gt;='Scoring Method'!$B$16,"Critical",IF(U18&gt;='Scoring Method'!$B$15,"High",IF(U18&gt;='Scoring Method'!$B$14,"Medium","Low"))))</f>
        <v>Low</v>
      </c>
      <c r="W18" s="15" t="n">
        <v>46295</v>
      </c>
    </row>
    <row r="19" customFormat="false" ht="52.2" hidden="false" customHeight="false" outlineLevel="0" collapsed="false">
      <c r="A19" s="11" t="s">
        <v>161</v>
      </c>
      <c r="B19" s="12" t="s">
        <v>162</v>
      </c>
      <c r="C19" s="12" t="s">
        <v>163</v>
      </c>
      <c r="D19" s="12" t="s">
        <v>164</v>
      </c>
      <c r="E19" s="12" t="s">
        <v>165</v>
      </c>
      <c r="F19" s="12" t="s">
        <v>57</v>
      </c>
      <c r="G19" s="11" t="n">
        <v>4</v>
      </c>
      <c r="H19" s="11" t="n">
        <v>4</v>
      </c>
      <c r="I19" s="13" t="n">
        <f aca="false">G19*H19</f>
        <v>16</v>
      </c>
      <c r="J19" s="14" t="str">
        <f aca="false">IF(I19="","",IF(I19&gt;='Scoring Method'!$B$16,"Critical",IF(I19&gt;='Scoring Method'!$B$15,"High",IF(I19&gt;='Scoring Method'!$B$14,"Medium","Low"))))</f>
        <v>Critical</v>
      </c>
      <c r="K19" s="12" t="s">
        <v>166</v>
      </c>
      <c r="L19" s="12" t="s">
        <v>167</v>
      </c>
      <c r="M19" s="11" t="s">
        <v>50</v>
      </c>
      <c r="N19" s="12" t="s">
        <v>168</v>
      </c>
      <c r="O19" s="11" t="s">
        <v>52</v>
      </c>
      <c r="P19" s="15" t="n">
        <v>46280</v>
      </c>
      <c r="Q19" s="13" t="n">
        <f aca="true">IF(OR(O19="Closed",O19="Accepted",P19=""),0,MAX(0,TODAY()-P19))</f>
        <v>23</v>
      </c>
      <c r="R19" s="14" t="str">
        <f aca="false">IF(Q19&gt;0,"Yes","No")</f>
        <v>Yes</v>
      </c>
      <c r="S19" s="11" t="n">
        <v>2</v>
      </c>
      <c r="T19" s="11" t="n">
        <v>3</v>
      </c>
      <c r="U19" s="13" t="n">
        <f aca="false">S19*T19</f>
        <v>6</v>
      </c>
      <c r="V19" s="14" t="str">
        <f aca="false">IF(U19="","",IF(U19&gt;='Scoring Method'!$B$16,"Critical",IF(U19&gt;='Scoring Method'!$B$15,"High",IF(U19&gt;='Scoring Method'!$B$14,"Medium","Low"))))</f>
        <v>Medium</v>
      </c>
      <c r="W19" s="15" t="n">
        <v>46295</v>
      </c>
    </row>
    <row r="20" customFormat="false" ht="39.55" hidden="false" customHeight="false" outlineLevel="0" collapsed="false">
      <c r="A20" s="11" t="s">
        <v>169</v>
      </c>
      <c r="B20" s="12" t="s">
        <v>170</v>
      </c>
      <c r="C20" s="12" t="s">
        <v>171</v>
      </c>
      <c r="D20" s="12" t="s">
        <v>172</v>
      </c>
      <c r="E20" s="12" t="s">
        <v>92</v>
      </c>
      <c r="F20" s="12" t="s">
        <v>141</v>
      </c>
      <c r="G20" s="11" t="n">
        <v>3</v>
      </c>
      <c r="H20" s="11" t="n">
        <v>4</v>
      </c>
      <c r="I20" s="13" t="n">
        <f aca="false">G20*H20</f>
        <v>12</v>
      </c>
      <c r="J20" s="14" t="str">
        <f aca="false">IF(I20="","",IF(I20&gt;='Scoring Method'!$B$16,"Critical",IF(I20&gt;='Scoring Method'!$B$15,"High",IF(I20&gt;='Scoring Method'!$B$14,"Medium","Low"))))</f>
        <v>High</v>
      </c>
      <c r="K20" s="12" t="s">
        <v>173</v>
      </c>
      <c r="L20" s="12" t="s">
        <v>174</v>
      </c>
      <c r="M20" s="11" t="s">
        <v>50</v>
      </c>
      <c r="N20" s="12" t="s">
        <v>175</v>
      </c>
      <c r="O20" s="11" t="s">
        <v>87</v>
      </c>
      <c r="P20" s="15" t="n">
        <v>46568</v>
      </c>
      <c r="Q20" s="13" t="n">
        <f aca="true">IF(OR(O20="Closed",O20="Accepted",P20=""),0,MAX(0,TODAY()-P20))</f>
        <v>0</v>
      </c>
      <c r="R20" s="14" t="str">
        <f aca="false">IF(Q20&gt;0,"Yes","No")</f>
        <v>No</v>
      </c>
      <c r="S20" s="11" t="n">
        <v>2</v>
      </c>
      <c r="T20" s="11" t="n">
        <v>3</v>
      </c>
      <c r="U20" s="13" t="n">
        <f aca="false">S20*T20</f>
        <v>6</v>
      </c>
      <c r="V20" s="14" t="str">
        <f aca="false">IF(U20="","",IF(U20&gt;='Scoring Method'!$B$16,"Critical",IF(U20&gt;='Scoring Method'!$B$15,"High",IF(U20&gt;='Scoring Method'!$B$14,"Medium","Low"))))</f>
        <v>Medium</v>
      </c>
      <c r="W20" s="15" t="n">
        <v>46295</v>
      </c>
    </row>
    <row r="21" customFormat="false" ht="39.55" hidden="false" customHeight="false" outlineLevel="0" collapsed="false">
      <c r="A21" s="11" t="s">
        <v>176</v>
      </c>
      <c r="B21" s="12" t="s">
        <v>177</v>
      </c>
      <c r="C21" s="12" t="s">
        <v>178</v>
      </c>
      <c r="D21" s="12" t="s">
        <v>179</v>
      </c>
      <c r="E21" s="12" t="s">
        <v>180</v>
      </c>
      <c r="F21" s="12" t="s">
        <v>47</v>
      </c>
      <c r="G21" s="11" t="n">
        <v>3</v>
      </c>
      <c r="H21" s="11" t="n">
        <v>3</v>
      </c>
      <c r="I21" s="13" t="n">
        <f aca="false">G21*H21</f>
        <v>9</v>
      </c>
      <c r="J21" s="14" t="str">
        <f aca="false">IF(I21="","",IF(I21&gt;='Scoring Method'!$B$16,"Critical",IF(I21&gt;='Scoring Method'!$B$15,"High",IF(I21&gt;='Scoring Method'!$B$14,"Medium","Low"))))</f>
        <v>Medium</v>
      </c>
      <c r="K21" s="12" t="s">
        <v>181</v>
      </c>
      <c r="L21" s="12" t="s">
        <v>182</v>
      </c>
      <c r="M21" s="11" t="s">
        <v>50</v>
      </c>
      <c r="N21" s="12" t="s">
        <v>183</v>
      </c>
      <c r="O21" s="11" t="s">
        <v>70</v>
      </c>
      <c r="P21" s="15" t="n">
        <v>46477</v>
      </c>
      <c r="Q21" s="13" t="n">
        <f aca="true">IF(OR(O21="Closed",O21="Accepted",P21=""),0,MAX(0,TODAY()-P21))</f>
        <v>0</v>
      </c>
      <c r="R21" s="14" t="str">
        <f aca="false">IF(Q21&gt;0,"Yes","No")</f>
        <v>No</v>
      </c>
      <c r="S21" s="11" t="n">
        <v>2</v>
      </c>
      <c r="T21" s="11" t="n">
        <v>2</v>
      </c>
      <c r="U21" s="13" t="n">
        <f aca="false">S21*T21</f>
        <v>4</v>
      </c>
      <c r="V21" s="14" t="str">
        <f aca="false">IF(U21="","",IF(U21&gt;='Scoring Method'!$B$16,"Critical",IF(U21&gt;='Scoring Method'!$B$15,"High",IF(U21&gt;='Scoring Method'!$B$14,"Medium","Low"))))</f>
        <v>Low</v>
      </c>
      <c r="W21" s="15" t="n">
        <v>46295</v>
      </c>
    </row>
    <row r="22" customFormat="false" ht="39.55" hidden="false" customHeight="false" outlineLevel="0" collapsed="false">
      <c r="A22" s="11" t="s">
        <v>184</v>
      </c>
      <c r="B22" s="12" t="s">
        <v>185</v>
      </c>
      <c r="C22" s="12" t="s">
        <v>186</v>
      </c>
      <c r="D22" s="12" t="s">
        <v>187</v>
      </c>
      <c r="E22" s="12" t="s">
        <v>65</v>
      </c>
      <c r="F22" s="12" t="s">
        <v>125</v>
      </c>
      <c r="G22" s="11" t="n">
        <v>4</v>
      </c>
      <c r="H22" s="11" t="n">
        <v>3</v>
      </c>
      <c r="I22" s="13" t="n">
        <f aca="false">G22*H22</f>
        <v>12</v>
      </c>
      <c r="J22" s="14" t="str">
        <f aca="false">IF(I22="","",IF(I22&gt;='Scoring Method'!$B$16,"Critical",IF(I22&gt;='Scoring Method'!$B$15,"High",IF(I22&gt;='Scoring Method'!$B$14,"Medium","Low"))))</f>
        <v>High</v>
      </c>
      <c r="K22" s="12" t="s">
        <v>188</v>
      </c>
      <c r="L22" s="12" t="s">
        <v>189</v>
      </c>
      <c r="M22" s="11" t="s">
        <v>50</v>
      </c>
      <c r="N22" s="12" t="s">
        <v>190</v>
      </c>
      <c r="O22" s="11" t="s">
        <v>52</v>
      </c>
      <c r="P22" s="15" t="n">
        <v>46387</v>
      </c>
      <c r="Q22" s="13" t="n">
        <f aca="true">IF(OR(O22="Closed",O22="Accepted",P22=""),0,MAX(0,TODAY()-P22))</f>
        <v>0</v>
      </c>
      <c r="R22" s="14" t="str">
        <f aca="false">IF(Q22&gt;0,"Yes","No")</f>
        <v>No</v>
      </c>
      <c r="S22" s="11" t="n">
        <v>2</v>
      </c>
      <c r="T22" s="11" t="n">
        <v>2</v>
      </c>
      <c r="U22" s="13" t="n">
        <f aca="false">S22*T22</f>
        <v>4</v>
      </c>
      <c r="V22" s="14" t="str">
        <f aca="false">IF(U22="","",IF(U22&gt;='Scoring Method'!$B$16,"Critical",IF(U22&gt;='Scoring Method'!$B$15,"High",IF(U22&gt;='Scoring Method'!$B$14,"Medium","Low"))))</f>
        <v>Low</v>
      </c>
      <c r="W22" s="15" t="n">
        <v>46295</v>
      </c>
    </row>
  </sheetData>
  <autoFilter ref="A4:W22"/>
  <conditionalFormatting sqref="J5:J100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V5:V100">
    <cfRule type="cellIs" priority="6" operator="equal" aboveAverage="0" equalAverage="0" bottom="0" percent="0" rank="0" text="" dxfId="11">
      <formula>"Critical"</formula>
    </cfRule>
    <cfRule type="cellIs" priority="7" operator="equal" aboveAverage="0" equalAverage="0" bottom="0" percent="0" rank="0" text="" dxfId="12">
      <formula>"High"</formula>
    </cfRule>
    <cfRule type="cellIs" priority="8" operator="equal" aboveAverage="0" equalAverage="0" bottom="0" percent="0" rank="0" text="" dxfId="13">
      <formula>"Medium"</formula>
    </cfRule>
    <cfRule type="cellIs" priority="9" operator="equal" aboveAverage="0" equalAverage="0" bottom="0" percent="0" rank="0" text="" dxfId="14">
      <formula>"Low"</formula>
    </cfRule>
  </conditionalFormatting>
  <conditionalFormatting sqref="R5:R100">
    <cfRule type="cellIs" priority="10" operator="equal" aboveAverage="0" equalAverage="0" bottom="0" percent="0" rank="0" text="" dxfId="15">
      <formula>"Yes"</formula>
    </cfRule>
  </conditionalFormatting>
  <dataValidations count="3">
    <dataValidation allowBlank="true" errorStyle="stop" operator="between" showDropDown="false" showErrorMessage="false" showInputMessage="false" sqref="G5:H100 S5:T100" type="list">
      <formula1>Lists!$A$2:$A$6</formula1>
      <formula2>0</formula2>
    </dataValidation>
    <dataValidation allowBlank="true" errorStyle="stop" operator="between" showDropDown="false" showErrorMessage="false" showInputMessage="false" sqref="M5:M100" type="list">
      <formula1>Lists!$B$2:$B$5</formula1>
      <formula2>0</formula2>
    </dataValidation>
    <dataValidation allowBlank="true" errorStyle="stop" operator="between" showDropDown="false" showErrorMessage="false" showInputMessage="false" sqref="O5:O100" type="list">
      <formula1>Lists!$C$2:$C$6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9" min="5" style="0" width="12"/>
  </cols>
  <sheetData>
    <row r="1" customFormat="false" ht="17.35" hidden="false" customHeight="false" outlineLevel="0" collapsed="false">
      <c r="A1" s="7" t="s">
        <v>191</v>
      </c>
    </row>
    <row r="2" customFormat="false" ht="15" hidden="false" customHeight="false" outlineLevel="0" collapsed="false">
      <c r="A2" s="16" t="s">
        <v>192</v>
      </c>
    </row>
    <row r="4" customFormat="false" ht="15" hidden="false" customHeight="false" outlineLevel="0" collapsed="false">
      <c r="A4" s="17" t="s">
        <v>193</v>
      </c>
      <c r="B4" s="17" t="s">
        <v>194</v>
      </c>
      <c r="D4" s="17" t="s">
        <v>33</v>
      </c>
      <c r="E4" s="17" t="s">
        <v>195</v>
      </c>
      <c r="G4" s="17" t="s">
        <v>196</v>
      </c>
      <c r="H4" s="17" t="s">
        <v>197</v>
      </c>
      <c r="I4" s="17" t="s">
        <v>198</v>
      </c>
    </row>
    <row r="5" customFormat="false" ht="15" hidden="false" customHeight="false" outlineLevel="0" collapsed="false">
      <c r="A5" s="18" t="s">
        <v>199</v>
      </c>
      <c r="B5" s="19" t="n">
        <f aca="false">COUNTA('Risk Register'!$A$5:$A$100)</f>
        <v>18</v>
      </c>
      <c r="D5" s="18" t="s">
        <v>87</v>
      </c>
      <c r="E5" s="20" t="n">
        <f aca="false">COUNTIF('Risk Register'!$O$5:$O$100,D5)</f>
        <v>5</v>
      </c>
      <c r="G5" s="21" t="s">
        <v>200</v>
      </c>
      <c r="H5" s="20" t="n">
        <f aca="false">COUNTIF('Risk Register'!$J$5:$J$100,G5)</f>
        <v>5</v>
      </c>
      <c r="I5" s="20" t="n">
        <f aca="false">COUNTIF('Risk Register'!$V$5:$V$100,G5)</f>
        <v>0</v>
      </c>
    </row>
    <row r="6" customFormat="false" ht="15" hidden="false" customHeight="false" outlineLevel="0" collapsed="false">
      <c r="A6" s="18" t="s">
        <v>201</v>
      </c>
      <c r="B6" s="19" t="n">
        <f aca="false">COUNTA('Risk Register'!$A$5:$A$100)-COUNTIF('Risk Register'!$O$5:$O$100,"Closed")-COUNTIF('Risk Register'!$O$5:$O$100,"Accepted")</f>
        <v>17</v>
      </c>
      <c r="D6" s="18" t="s">
        <v>70</v>
      </c>
      <c r="E6" s="20" t="n">
        <f aca="false">COUNTIF('Risk Register'!$O$5:$O$100,D6)</f>
        <v>5</v>
      </c>
      <c r="G6" s="22" t="s">
        <v>202</v>
      </c>
      <c r="H6" s="20" t="n">
        <f aca="false">COUNTIF('Risk Register'!$J$5:$J$100,G6)</f>
        <v>8</v>
      </c>
      <c r="I6" s="20" t="n">
        <f aca="false">COUNTIF('Risk Register'!$V$5:$V$100,G6)</f>
        <v>0</v>
      </c>
    </row>
    <row r="7" customFormat="false" ht="15" hidden="false" customHeight="false" outlineLevel="0" collapsed="false">
      <c r="A7" s="18" t="s">
        <v>203</v>
      </c>
      <c r="B7" s="19" t="n">
        <f aca="false">COUNTIF('Risk Register'!$R$5:$R$100,"Yes")</f>
        <v>4</v>
      </c>
      <c r="D7" s="18" t="s">
        <v>52</v>
      </c>
      <c r="E7" s="20" t="n">
        <f aca="false">COUNTIF('Risk Register'!$O$5:$O$100,D7)</f>
        <v>7</v>
      </c>
      <c r="G7" s="23" t="s">
        <v>204</v>
      </c>
      <c r="H7" s="20" t="n">
        <f aca="false">COUNTIF('Risk Register'!$J$5:$J$100,G7)</f>
        <v>5</v>
      </c>
      <c r="I7" s="20" t="n">
        <f aca="false">COUNTIF('Risk Register'!$V$5:$V$100,G7)</f>
        <v>10</v>
      </c>
    </row>
    <row r="8" customFormat="false" ht="15" hidden="false" customHeight="false" outlineLevel="0" collapsed="false">
      <c r="A8" s="18" t="s">
        <v>205</v>
      </c>
      <c r="B8" s="19" t="n">
        <f aca="false">COUNTIF('Risk Register'!$J$5:$J$100,"Critical")+COUNTIF('Risk Register'!$J$5:$J$100,"High")</f>
        <v>13</v>
      </c>
      <c r="D8" s="18" t="s">
        <v>206</v>
      </c>
      <c r="E8" s="20" t="n">
        <f aca="false">COUNTIF('Risk Register'!$O$5:$O$100,D8)</f>
        <v>0</v>
      </c>
      <c r="G8" s="24" t="s">
        <v>207</v>
      </c>
      <c r="H8" s="20" t="n">
        <f aca="false">COUNTIF('Risk Register'!$J$5:$J$100,G8)</f>
        <v>0</v>
      </c>
      <c r="I8" s="20" t="n">
        <f aca="false">COUNTIF('Risk Register'!$V$5:$V$100,G8)</f>
        <v>8</v>
      </c>
    </row>
    <row r="9" customFormat="false" ht="15" hidden="false" customHeight="false" outlineLevel="0" collapsed="false">
      <c r="A9" s="18" t="s">
        <v>208</v>
      </c>
      <c r="B9" s="19" t="n">
        <f aca="false">COUNTIF('Risk Register'!$V$5:$V$100,"Critical")+COUNTIF('Risk Register'!$V$5:$V$100,"High")</f>
        <v>0</v>
      </c>
      <c r="D9" s="18" t="s">
        <v>153</v>
      </c>
      <c r="E9" s="20" t="n">
        <f aca="false">COUNTIF('Risk Register'!$O$5:$O$100,D9)</f>
        <v>1</v>
      </c>
    </row>
    <row r="10" customFormat="false" ht="15" hidden="false" customHeight="false" outlineLevel="0" collapsed="false">
      <c r="A10" s="18" t="s">
        <v>209</v>
      </c>
      <c r="B10" s="25" t="n">
        <f aca="false">IFERROR(AVERAGE('Risk Register'!$I$5:$I$100),0)</f>
        <v>12.0555555555556</v>
      </c>
    </row>
    <row r="11" customFormat="false" ht="15" hidden="false" customHeight="false" outlineLevel="0" collapsed="false">
      <c r="A11" s="18" t="s">
        <v>210</v>
      </c>
      <c r="B11" s="25" t="n">
        <f aca="false">IFERROR(AVERAGE('Risk Register'!$U$5:$U$100),0)</f>
        <v>5.44444444444445</v>
      </c>
    </row>
    <row r="14" customFormat="false" ht="15" hidden="false" customHeight="false" outlineLevel="0" collapsed="false">
      <c r="A14" s="26" t="s">
        <v>211</v>
      </c>
    </row>
    <row r="15" customFormat="false" ht="15" hidden="false" customHeight="false" outlineLevel="0" collapsed="false">
      <c r="A15" s="16" t="s">
        <v>212</v>
      </c>
      <c r="B15" s="19" t="n">
        <v>1</v>
      </c>
      <c r="C15" s="19" t="n">
        <v>2</v>
      </c>
      <c r="D15" s="19" t="n">
        <v>3</v>
      </c>
      <c r="E15" s="19" t="n">
        <v>4</v>
      </c>
      <c r="F15" s="19" t="n">
        <v>5</v>
      </c>
    </row>
    <row r="16" customFormat="false" ht="27.75" hidden="false" customHeight="true" outlineLevel="0" collapsed="false">
      <c r="A16" s="19" t="n">
        <v>5</v>
      </c>
      <c r="B16" s="27" t="n">
        <f aca="false">COUNTIFS('Risk Register'!$G$5:$G$100,$A16,'Risk Register'!$H$5:$H$100,B$15)</f>
        <v>0</v>
      </c>
      <c r="C16" s="28" t="n">
        <f aca="false">COUNTIFS('Risk Register'!$G$5:$G$100,$A16,'Risk Register'!$H$5:$H$100,C$15)</f>
        <v>0</v>
      </c>
      <c r="D16" s="29" t="n">
        <f aca="false">COUNTIFS('Risk Register'!$G$5:$G$100,$A16,'Risk Register'!$H$5:$H$100,D$15)</f>
        <v>1</v>
      </c>
      <c r="E16" s="29" t="n">
        <f aca="false">COUNTIFS('Risk Register'!$G$5:$G$100,$A16,'Risk Register'!$H$5:$H$100,E$15)</f>
        <v>0</v>
      </c>
      <c r="F16" s="29" t="n">
        <f aca="false">COUNTIFS('Risk Register'!$G$5:$G$100,$A16,'Risk Register'!$H$5:$H$100,F$15)</f>
        <v>0</v>
      </c>
    </row>
    <row r="17" customFormat="false" ht="27.75" hidden="false" customHeight="true" outlineLevel="0" collapsed="false">
      <c r="A17" s="19" t="n">
        <v>4</v>
      </c>
      <c r="B17" s="30" t="n">
        <f aca="false">COUNTIFS('Risk Register'!$G$5:$G$100,$A17,'Risk Register'!$H$5:$H$100,B$15)</f>
        <v>0</v>
      </c>
      <c r="C17" s="27" t="n">
        <f aca="false">COUNTIFS('Risk Register'!$G$5:$G$100,$A17,'Risk Register'!$H$5:$H$100,C$15)</f>
        <v>0</v>
      </c>
      <c r="D17" s="28" t="n">
        <f aca="false">COUNTIFS('Risk Register'!$G$5:$G$100,$A17,'Risk Register'!$H$5:$H$100,D$15)</f>
        <v>3</v>
      </c>
      <c r="E17" s="29" t="n">
        <f aca="false">COUNTIFS('Risk Register'!$G$5:$G$100,$A17,'Risk Register'!$H$5:$H$100,E$15)</f>
        <v>2</v>
      </c>
      <c r="F17" s="29" t="n">
        <f aca="false">COUNTIFS('Risk Register'!$G$5:$G$100,$A17,'Risk Register'!$H$5:$H$100,F$15)</f>
        <v>1</v>
      </c>
    </row>
    <row r="18" customFormat="false" ht="27.75" hidden="false" customHeight="true" outlineLevel="0" collapsed="false">
      <c r="A18" s="19" t="n">
        <v>3</v>
      </c>
      <c r="B18" s="30" t="n">
        <f aca="false">COUNTIFS('Risk Register'!$G$5:$G$100,$A18,'Risk Register'!$H$5:$H$100,B$15)</f>
        <v>0</v>
      </c>
      <c r="C18" s="27" t="n">
        <f aca="false">COUNTIFS('Risk Register'!$G$5:$G$100,$A18,'Risk Register'!$H$5:$H$100,C$15)</f>
        <v>0</v>
      </c>
      <c r="D18" s="27" t="n">
        <f aca="false">COUNTIFS('Risk Register'!$G$5:$G$100,$A18,'Risk Register'!$H$5:$H$100,D$15)</f>
        <v>3</v>
      </c>
      <c r="E18" s="28" t="n">
        <f aca="false">COUNTIFS('Risk Register'!$G$5:$G$100,$A18,'Risk Register'!$H$5:$H$100,E$15)</f>
        <v>3</v>
      </c>
      <c r="F18" s="29" t="n">
        <f aca="false">COUNTIFS('Risk Register'!$G$5:$G$100,$A18,'Risk Register'!$H$5:$H$100,F$15)</f>
        <v>1</v>
      </c>
    </row>
    <row r="19" customFormat="false" ht="27.75" hidden="false" customHeight="true" outlineLevel="0" collapsed="false">
      <c r="A19" s="19" t="n">
        <v>2</v>
      </c>
      <c r="B19" s="30" t="n">
        <f aca="false">COUNTIFS('Risk Register'!$G$5:$G$100,$A19,'Risk Register'!$H$5:$H$100,B$15)</f>
        <v>0</v>
      </c>
      <c r="C19" s="30" t="n">
        <f aca="false">COUNTIFS('Risk Register'!$G$5:$G$100,$A19,'Risk Register'!$H$5:$H$100,C$15)</f>
        <v>0</v>
      </c>
      <c r="D19" s="27" t="n">
        <f aca="false">COUNTIFS('Risk Register'!$G$5:$G$100,$A19,'Risk Register'!$H$5:$H$100,D$15)</f>
        <v>0</v>
      </c>
      <c r="E19" s="27" t="n">
        <f aca="false">COUNTIFS('Risk Register'!$G$5:$G$100,$A19,'Risk Register'!$H$5:$H$100,E$15)</f>
        <v>2</v>
      </c>
      <c r="F19" s="28" t="n">
        <f aca="false">COUNTIFS('Risk Register'!$G$5:$G$100,$A19,'Risk Register'!$H$5:$H$100,F$15)</f>
        <v>2</v>
      </c>
    </row>
    <row r="20" customFormat="false" ht="27.75" hidden="false" customHeight="true" outlineLevel="0" collapsed="false">
      <c r="A20" s="19" t="n">
        <v>1</v>
      </c>
      <c r="B20" s="30" t="n">
        <f aca="false">COUNTIFS('Risk Register'!$G$5:$G$100,$A20,'Risk Register'!$H$5:$H$100,B$15)</f>
        <v>0</v>
      </c>
      <c r="C20" s="30" t="n">
        <f aca="false">COUNTIFS('Risk Register'!$G$5:$G$100,$A20,'Risk Register'!$H$5:$H$100,C$15)</f>
        <v>0</v>
      </c>
      <c r="D20" s="30" t="n">
        <f aca="false">COUNTIFS('Risk Register'!$G$5:$G$100,$A20,'Risk Register'!$H$5:$H$100,D$15)</f>
        <v>0</v>
      </c>
      <c r="E20" s="30" t="n">
        <f aca="false">COUNTIFS('Risk Register'!$G$5:$G$100,$A20,'Risk Register'!$H$5:$H$100,E$15)</f>
        <v>0</v>
      </c>
      <c r="F20" s="27" t="n">
        <f aca="false">COUNTIFS('Risk Register'!$G$5:$G$100,$A20,'Risk Register'!$H$5:$H$100,F$15)</f>
        <v>0</v>
      </c>
    </row>
    <row r="22" customFormat="false" ht="15" hidden="false" customHeight="false" outlineLevel="0" collapsed="false">
      <c r="A22" s="31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7" t="s">
        <v>214</v>
      </c>
    </row>
    <row r="2" customFormat="false" ht="15" hidden="false" customHeight="false" outlineLevel="0" collapsed="false">
      <c r="A2" s="16" t="s">
        <v>215</v>
      </c>
    </row>
    <row r="4" customFormat="false" ht="15" hidden="false" customHeight="false" outlineLevel="0" collapsed="false">
      <c r="A4" s="17" t="s">
        <v>216</v>
      </c>
      <c r="B4" s="17" t="s">
        <v>217</v>
      </c>
      <c r="C4" s="17" t="s">
        <v>218</v>
      </c>
      <c r="D4" s="17" t="s">
        <v>219</v>
      </c>
      <c r="E4" s="17" t="s">
        <v>220</v>
      </c>
    </row>
    <row r="5" customFormat="false" ht="15" hidden="false" customHeight="false" outlineLevel="0" collapsed="false">
      <c r="A5" s="32" t="n">
        <v>1</v>
      </c>
      <c r="B5" s="32" t="s">
        <v>221</v>
      </c>
      <c r="C5" s="32" t="s">
        <v>222</v>
      </c>
      <c r="D5" s="32" t="s">
        <v>223</v>
      </c>
      <c r="E5" s="32" t="s">
        <v>224</v>
      </c>
    </row>
    <row r="6" customFormat="false" ht="15" hidden="false" customHeight="false" outlineLevel="0" collapsed="false">
      <c r="A6" s="32" t="n">
        <v>2</v>
      </c>
      <c r="B6" s="32" t="s">
        <v>225</v>
      </c>
      <c r="C6" s="32" t="s">
        <v>226</v>
      </c>
      <c r="D6" s="32" t="s">
        <v>227</v>
      </c>
      <c r="E6" s="32" t="s">
        <v>228</v>
      </c>
    </row>
    <row r="7" customFormat="false" ht="26.85" hidden="false" customHeight="false" outlineLevel="0" collapsed="false">
      <c r="A7" s="32" t="n">
        <v>3</v>
      </c>
      <c r="B7" s="32" t="s">
        <v>229</v>
      </c>
      <c r="C7" s="32" t="s">
        <v>230</v>
      </c>
      <c r="D7" s="32" t="s">
        <v>231</v>
      </c>
      <c r="E7" s="32" t="s">
        <v>232</v>
      </c>
    </row>
    <row r="8" customFormat="false" ht="26.85" hidden="false" customHeight="false" outlineLevel="0" collapsed="false">
      <c r="A8" s="32" t="n">
        <v>4</v>
      </c>
      <c r="B8" s="32" t="s">
        <v>233</v>
      </c>
      <c r="C8" s="32" t="s">
        <v>234</v>
      </c>
      <c r="D8" s="32" t="s">
        <v>235</v>
      </c>
      <c r="E8" s="32" t="s">
        <v>236</v>
      </c>
    </row>
    <row r="9" customFormat="false" ht="26.85" hidden="false" customHeight="false" outlineLevel="0" collapsed="false">
      <c r="A9" s="32" t="n">
        <v>5</v>
      </c>
      <c r="B9" s="32" t="s">
        <v>237</v>
      </c>
      <c r="C9" s="32" t="s">
        <v>238</v>
      </c>
      <c r="D9" s="32" t="s">
        <v>239</v>
      </c>
      <c r="E9" s="32" t="s">
        <v>240</v>
      </c>
    </row>
    <row r="11" customFormat="false" ht="15" hidden="false" customHeight="false" outlineLevel="0" collapsed="false">
      <c r="A11" s="26" t="s">
        <v>241</v>
      </c>
    </row>
    <row r="12" customFormat="false" ht="15" hidden="false" customHeight="false" outlineLevel="0" collapsed="false">
      <c r="A12" s="17" t="s">
        <v>196</v>
      </c>
      <c r="B12" s="17" t="s">
        <v>242</v>
      </c>
      <c r="C12" s="17" t="s">
        <v>243</v>
      </c>
    </row>
    <row r="13" customFormat="false" ht="15" hidden="false" customHeight="false" outlineLevel="0" collapsed="false">
      <c r="A13" s="18" t="s">
        <v>207</v>
      </c>
      <c r="B13" s="33" t="n">
        <v>1</v>
      </c>
      <c r="C13" s="18" t="s">
        <v>244</v>
      </c>
    </row>
    <row r="14" customFormat="false" ht="15" hidden="false" customHeight="false" outlineLevel="0" collapsed="false">
      <c r="A14" s="18" t="s">
        <v>204</v>
      </c>
      <c r="B14" s="33" t="n">
        <v>5</v>
      </c>
      <c r="C14" s="18" t="s">
        <v>245</v>
      </c>
    </row>
    <row r="15" customFormat="false" ht="15" hidden="false" customHeight="false" outlineLevel="0" collapsed="false">
      <c r="A15" s="18" t="s">
        <v>202</v>
      </c>
      <c r="B15" s="33" t="n">
        <v>10</v>
      </c>
      <c r="C15" s="18" t="s">
        <v>246</v>
      </c>
    </row>
    <row r="16" customFormat="false" ht="15" hidden="false" customHeight="false" outlineLevel="0" collapsed="false">
      <c r="A16" s="18" t="s">
        <v>200</v>
      </c>
      <c r="B16" s="33" t="n">
        <v>15</v>
      </c>
      <c r="C16" s="18" t="s">
        <v>247</v>
      </c>
    </row>
    <row r="18" customFormat="false" ht="15" hidden="false" customHeight="false" outlineLevel="0" collapsed="false">
      <c r="A18" s="16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26" t="s">
        <v>249</v>
      </c>
      <c r="B1" s="26" t="s">
        <v>31</v>
      </c>
      <c r="C1" s="26" t="s">
        <v>33</v>
      </c>
    </row>
    <row r="2" customFormat="false" ht="15" hidden="false" customHeight="false" outlineLevel="0" collapsed="false">
      <c r="A2" s="34" t="n">
        <v>1</v>
      </c>
      <c r="B2" s="34" t="s">
        <v>50</v>
      </c>
      <c r="C2" s="34" t="s">
        <v>87</v>
      </c>
    </row>
    <row r="3" customFormat="false" ht="15" hidden="false" customHeight="false" outlineLevel="0" collapsed="false">
      <c r="A3" s="34" t="n">
        <v>2</v>
      </c>
      <c r="B3" s="34" t="s">
        <v>250</v>
      </c>
      <c r="C3" s="34" t="s">
        <v>70</v>
      </c>
    </row>
    <row r="4" customFormat="false" ht="15" hidden="false" customHeight="false" outlineLevel="0" collapsed="false">
      <c r="A4" s="34" t="n">
        <v>3</v>
      </c>
      <c r="B4" s="34" t="s">
        <v>251</v>
      </c>
      <c r="C4" s="34" t="s">
        <v>52</v>
      </c>
    </row>
    <row r="5" customFormat="false" ht="15" hidden="false" customHeight="false" outlineLevel="0" collapsed="false">
      <c r="A5" s="34" t="n">
        <v>4</v>
      </c>
      <c r="B5" s="34" t="s">
        <v>151</v>
      </c>
      <c r="C5" s="34" t="s">
        <v>206</v>
      </c>
    </row>
    <row r="6" customFormat="false" ht="15" hidden="false" customHeight="false" outlineLevel="0" collapsed="false">
      <c r="A6" s="34" t="n">
        <v>5</v>
      </c>
      <c r="C6" s="3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7" t="s">
        <v>252</v>
      </c>
    </row>
    <row r="2" customFormat="false" ht="15" hidden="false" customHeight="false" outlineLevel="0" collapsed="false">
      <c r="A2" s="16" t="s">
        <v>253</v>
      </c>
    </row>
    <row r="4" customFormat="false" ht="15" hidden="false" customHeight="false" outlineLevel="0" collapsed="false">
      <c r="A4" s="17" t="s">
        <v>254</v>
      </c>
      <c r="B4" s="17" t="s">
        <v>255</v>
      </c>
      <c r="C4" s="17" t="s">
        <v>256</v>
      </c>
      <c r="D4" s="17" t="s">
        <v>257</v>
      </c>
      <c r="E4" s="17" t="s">
        <v>258</v>
      </c>
      <c r="F4" s="17" t="s">
        <v>259</v>
      </c>
    </row>
    <row r="5" customFormat="false" ht="64.9" hidden="false" customHeight="false" outlineLevel="0" collapsed="false">
      <c r="A5" s="32" t="s">
        <v>260</v>
      </c>
      <c r="B5" s="32" t="s">
        <v>261</v>
      </c>
      <c r="C5" s="35" t="s">
        <v>262</v>
      </c>
      <c r="D5" s="32" t="s">
        <v>263</v>
      </c>
      <c r="E5" s="32" t="s">
        <v>264</v>
      </c>
      <c r="F5" s="32" t="s">
        <v>265</v>
      </c>
    </row>
    <row r="6" customFormat="false" ht="39.55" hidden="false" customHeight="false" outlineLevel="0" collapsed="false">
      <c r="A6" s="32" t="s">
        <v>260</v>
      </c>
      <c r="B6" s="32" t="s">
        <v>266</v>
      </c>
      <c r="C6" s="35" t="s">
        <v>267</v>
      </c>
      <c r="D6" s="32" t="s">
        <v>268</v>
      </c>
      <c r="E6" s="32" t="s">
        <v>269</v>
      </c>
      <c r="F6" s="32" t="s">
        <v>265</v>
      </c>
    </row>
    <row r="7" customFormat="false" ht="26.85" hidden="false" customHeight="false" outlineLevel="0" collapsed="false">
      <c r="A7" s="32" t="s">
        <v>260</v>
      </c>
      <c r="B7" s="32" t="s">
        <v>270</v>
      </c>
      <c r="C7" s="35" t="s">
        <v>271</v>
      </c>
      <c r="D7" s="32" t="s">
        <v>272</v>
      </c>
      <c r="E7" s="32" t="s">
        <v>273</v>
      </c>
      <c r="F7" s="32" t="s">
        <v>265</v>
      </c>
    </row>
    <row r="8" customFormat="false" ht="26.85" hidden="false" customHeight="false" outlineLevel="0" collapsed="false">
      <c r="A8" s="32" t="s">
        <v>260</v>
      </c>
      <c r="B8" s="32" t="s">
        <v>274</v>
      </c>
      <c r="C8" s="35" t="s">
        <v>275</v>
      </c>
      <c r="D8" s="32" t="s">
        <v>276</v>
      </c>
      <c r="E8" s="32" t="s">
        <v>61</v>
      </c>
      <c r="F8" s="32" t="s">
        <v>265</v>
      </c>
    </row>
    <row r="9" customFormat="false" ht="26.85" hidden="false" customHeight="false" outlineLevel="0" collapsed="false">
      <c r="A9" s="32" t="s">
        <v>260</v>
      </c>
      <c r="B9" s="32" t="s">
        <v>277</v>
      </c>
      <c r="C9" s="35" t="s">
        <v>278</v>
      </c>
      <c r="D9" s="32" t="s">
        <v>279</v>
      </c>
      <c r="E9" s="32" t="s">
        <v>280</v>
      </c>
      <c r="F9" s="32" t="s">
        <v>265</v>
      </c>
    </row>
    <row r="10" customFormat="false" ht="26.85" hidden="false" customHeight="false" outlineLevel="0" collapsed="false">
      <c r="A10" s="32" t="s">
        <v>260</v>
      </c>
      <c r="B10" s="32" t="s">
        <v>281</v>
      </c>
      <c r="C10" s="35" t="s">
        <v>282</v>
      </c>
      <c r="D10" s="32" t="s">
        <v>283</v>
      </c>
      <c r="E10" s="32" t="s">
        <v>284</v>
      </c>
      <c r="F10" s="32" t="s">
        <v>265</v>
      </c>
    </row>
    <row r="11" customFormat="false" ht="39.55" hidden="false" customHeight="false" outlineLevel="0" collapsed="false">
      <c r="A11" s="32" t="s">
        <v>260</v>
      </c>
      <c r="B11" s="32" t="s">
        <v>285</v>
      </c>
      <c r="C11" s="35" t="s">
        <v>286</v>
      </c>
      <c r="D11" s="32" t="s">
        <v>287</v>
      </c>
      <c r="E11" s="32" t="s">
        <v>288</v>
      </c>
      <c r="F11" s="32" t="s">
        <v>265</v>
      </c>
    </row>
    <row r="12" customFormat="false" ht="39.55" hidden="false" customHeight="false" outlineLevel="0" collapsed="false">
      <c r="A12" s="32" t="s">
        <v>289</v>
      </c>
      <c r="B12" s="32" t="s">
        <v>290</v>
      </c>
      <c r="C12" s="35" t="s">
        <v>291</v>
      </c>
      <c r="D12" s="32" t="s">
        <v>292</v>
      </c>
      <c r="E12" s="32" t="s">
        <v>293</v>
      </c>
      <c r="F12" s="32" t="s">
        <v>294</v>
      </c>
    </row>
    <row r="13" customFormat="false" ht="26.85" hidden="false" customHeight="false" outlineLevel="0" collapsed="false">
      <c r="A13" s="32" t="s">
        <v>289</v>
      </c>
      <c r="B13" s="32" t="s">
        <v>295</v>
      </c>
      <c r="C13" s="35" t="s">
        <v>296</v>
      </c>
      <c r="D13" s="32" t="s">
        <v>297</v>
      </c>
      <c r="E13" s="32" t="s">
        <v>298</v>
      </c>
      <c r="F13" s="32" t="s">
        <v>299</v>
      </c>
    </row>
    <row r="14" customFormat="false" ht="39.55" hidden="false" customHeight="false" outlineLevel="0" collapsed="false">
      <c r="A14" s="32" t="s">
        <v>300</v>
      </c>
      <c r="B14" s="32" t="s">
        <v>301</v>
      </c>
      <c r="C14" s="35" t="s">
        <v>302</v>
      </c>
      <c r="D14" s="32" t="s">
        <v>303</v>
      </c>
      <c r="E14" s="32" t="s">
        <v>214</v>
      </c>
      <c r="F14" s="32" t="s">
        <v>304</v>
      </c>
    </row>
    <row r="15" customFormat="false" ht="26.85" hidden="false" customHeight="false" outlineLevel="0" collapsed="false">
      <c r="A15" s="32" t="s">
        <v>300</v>
      </c>
      <c r="B15" s="32" t="s">
        <v>305</v>
      </c>
      <c r="C15" s="35" t="s">
        <v>306</v>
      </c>
      <c r="D15" s="32" t="s">
        <v>307</v>
      </c>
      <c r="E15" s="32" t="s">
        <v>214</v>
      </c>
      <c r="F15" s="32" t="s">
        <v>304</v>
      </c>
    </row>
    <row r="16" customFormat="false" ht="26.85" hidden="false" customHeight="false" outlineLevel="0" collapsed="false">
      <c r="A16" s="32" t="s">
        <v>308</v>
      </c>
      <c r="B16" s="32" t="s">
        <v>309</v>
      </c>
      <c r="C16" s="35" t="s">
        <v>310</v>
      </c>
      <c r="D16" s="32" t="s">
        <v>311</v>
      </c>
      <c r="E16" s="32" t="s">
        <v>312</v>
      </c>
      <c r="F16" s="32" t="s">
        <v>313</v>
      </c>
    </row>
    <row r="17" customFormat="false" ht="26.85" hidden="false" customHeight="false" outlineLevel="0" collapsed="false">
      <c r="A17" s="32" t="s">
        <v>314</v>
      </c>
      <c r="B17" s="32" t="s">
        <v>315</v>
      </c>
      <c r="C17" s="35" t="s">
        <v>316</v>
      </c>
      <c r="D17" s="32" t="s">
        <v>317</v>
      </c>
      <c r="E17" s="32" t="s">
        <v>42</v>
      </c>
      <c r="F17" s="32" t="s">
        <v>265</v>
      </c>
    </row>
    <row r="18" customFormat="false" ht="39.55" hidden="false" customHeight="false" outlineLevel="0" collapsed="false">
      <c r="A18" s="32" t="s">
        <v>314</v>
      </c>
      <c r="B18" s="32" t="s">
        <v>318</v>
      </c>
      <c r="C18" s="35" t="s">
        <v>319</v>
      </c>
      <c r="D18" s="32" t="s">
        <v>320</v>
      </c>
      <c r="E18" s="32" t="s">
        <v>42</v>
      </c>
      <c r="F18" s="32" t="s">
        <v>265</v>
      </c>
    </row>
  </sheetData>
  <hyperlinks>
    <hyperlink ref="C5" r:id="rId1" display="https://uni-saarland.de/en/page/newly-appointed-professors/your-professorship/working-environment.html"/>
    <hyperlink ref="C6" r:id="rId2" display="https://www.uni-saarland.de/page/neuberufen/persoenliches/anlaufstellen.html"/>
    <hyperlink ref="C7" r:id="rId3" display="https://www.hiz-saarland.de/start/"/>
    <hyperlink ref="C8" r:id="rId4" display="https://uni-saarland.de/en/studies/saarland/the-homburg-campus.html"/>
    <hyperlink ref="C9" r:id="rId5" display="https://cs.fs.uni-saarland.de/en/special/internet/"/>
    <hyperlink ref="C10" r:id="rId6" display="https://en.wikipedia.org/wiki/Saarland_University"/>
    <hyperlink ref="C11" r:id="rId7" display="https://dfn.de/en/network"/>
    <hyperlink ref="C12" r:id="rId8" display="https://www.iso.org/standard/27001"/>
    <hyperlink ref="C13" r:id="rId9" display="https://www.iso.org/standard/75652.html"/>
    <hyperlink ref="C14" r:id="rId10" display="https://www.bsi.bund.de/DE/Themen/Unternehmen-und-Organisationen/Standards-und-Zertifizierung/IT-Grundschutz/BSI-Standards/bsi-standards_node.html"/>
    <hyperlink ref="C15" r:id="rId11" display="https://www.bsi.bund.de/SharedDocs/Downloads/EN/BSI/Grundschutz/International/bsi-standard-2003_en_pdf.html"/>
    <hyperlink ref="C16" r:id="rId12" display="https://eur-lex.europa.eu/eli/reg/2016/679/oj"/>
    <hyperlink ref="C17" r:id="rId13" display="https://www.zm-online.de/news/detail/justus-liebig-universitaet-ist-wieder-online"/>
    <hyperlink ref="C18" r:id="rId14" display="https://therecord.media/germany-ransomware-haw-hamburg-vice-socie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2026-10-08T17:13:16Z</dcterms:created>
  <dc:creator>openpyxl</dc:creator>
  <dc:description/>
  <dc:language>en-US</dc:language>
  <cp:lastModifiedBy/>
  <dcterms:modified xsi:type="dcterms:W3CDTF">2026-10-08T17:13:16Z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