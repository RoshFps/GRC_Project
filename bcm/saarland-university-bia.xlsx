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cess" sheetId="2" state="visible" r:id="rId2"/>
    <sheet xmlns:r="http://schemas.openxmlformats.org/officeDocument/2006/relationships" name="Impact Over Time" sheetId="3" state="visible" r:id="rId3"/>
    <sheet xmlns:r="http://schemas.openxmlformats.org/officeDocument/2006/relationships" name="RTO &amp; RPO" sheetId="4" state="visible" r:id="rId4"/>
    <sheet xmlns:r="http://schemas.openxmlformats.org/officeDocument/2006/relationships" name="Dependencies" sheetId="5" state="visible" r:id="rId5"/>
    <sheet xmlns:r="http://schemas.openxmlformats.org/officeDocument/2006/relationships" name="Linked Risks" sheetId="6" state="visible" r:id="rId6"/>
    <sheet xmlns:r="http://schemas.openxmlformats.org/officeDocument/2006/relationships" name="Actions" sheetId="7" state="visible" r:id="rId7"/>
    <sheet xmlns:r="http://schemas.openxmlformats.org/officeDocument/2006/relationships" name="Impact Scale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</font>
    <font>
      <name val="Arial"/>
    </font>
    <font>
      <name val="Arial"/>
      <b val="1"/>
      <color rgb="00FFFFFF"/>
    </font>
    <font>
      <name val="Arial"/>
      <i val="1"/>
      <sz val="9"/>
    </font>
    <font>
      <name val="Arial"/>
      <b val="1"/>
      <color rgb="001F3864"/>
      <sz val="12"/>
    </font>
    <font>
      <name val="Arial"/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3" fillId="3" borderId="1" pivotButton="0" quotePrefix="0" xfId="0"/>
    <xf numFmtId="0" fontId="6" fillId="0" borderId="0" pivotButton="0" quotePrefix="0" xfId="0"/>
    <xf numFmtId="0" fontId="7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b val="1"/>
        <color rgb="00C00000"/>
      </font>
      <fill>
        <patternFill patternType="solid">
          <fgColor rgb="00F8CBAD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www.uni-saarland.de/en/einrichtung/zpl/studienorganisation/abisz.html" TargetMode="External" Id="rId1"/><Relationship Type="http://schemas.openxmlformats.org/officeDocument/2006/relationships/hyperlink" Target="https://www.uni-saarland.de/fachrichtung/systems-engineering/studium/pruefungsanmeldung-und-termine.html" TargetMode="External" Id="rId2"/><Relationship Type="http://schemas.openxmlformats.org/officeDocument/2006/relationships/hyperlink" Target="https://www.uni-saarland.de/fileadmin/upload/dezernat/ls/semestertermine/Studienjahr2026-2027.pdf" TargetMode="External" Id="rId3"/><Relationship Type="http://schemas.openxmlformats.org/officeDocument/2006/relationships/hyperlink" Target="https://www.iso.org/standard/75106.html" TargetMode="External" Id="rId4"/><Relationship Type="http://schemas.openxmlformats.org/officeDocument/2006/relationships/hyperlink" Target="https://www.bsi.bund.de/DE/Themen/Unternehmen-und-Organisationen/Standards-und-Zertifizierung/IT-Grundschutz/BSI-Standards/BSI-Standard-200-4-Business-Continuity-Management/bsi-standard-200-4_Business_Continuity_Management_node.html" TargetMode="External" Id="rId5"/><Relationship Type="http://schemas.openxmlformats.org/officeDocument/2006/relationships/hyperlink" Target="https://www.iso.org/standard/2700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Business Impact Analysis: Exam registration and grade recording</t>
        </is>
      </c>
    </row>
    <row r="2">
      <c r="A2" s="2" t="inlineStr">
        <is>
          <t>Portfolio exercise based on ISO 22301 and ISO/IEC 27001:2022 (A.5.29, A.5.30). Public facts only; all internal details are invented. Not an official university document.</t>
        </is>
      </c>
    </row>
    <row r="4">
      <c r="A4" s="3" t="inlineStr">
        <is>
          <t>Organisation</t>
        </is>
      </c>
      <c r="B4" s="4" t="inlineStr">
        <is>
          <t>Saarland University (Saarbrücken and Homburg campuses)</t>
        </is>
      </c>
    </row>
    <row r="5">
      <c r="A5" s="3" t="inlineStr">
        <is>
          <t>Process</t>
        </is>
      </c>
      <c r="B5" s="4" t="inlineStr">
        <is>
          <t>Exam registration and grade recording, supported by LSF exam administration (HIS-Portal)</t>
        </is>
      </c>
    </row>
    <row r="6">
      <c r="A6" s="3" t="inlineStr">
        <is>
          <t>Process owner</t>
        </is>
      </c>
      <c r="B6" s="4" t="inlineStr">
        <is>
          <t>Head of Student Services (same owner as risk R07)</t>
        </is>
      </c>
    </row>
    <row r="7">
      <c r="A7" s="3" t="inlineStr">
        <is>
          <t>Why this process</t>
        </is>
      </c>
      <c r="B7" s="4" t="inlineStr">
        <is>
          <t>Risk R07 in the register: the campus management system failing during exam registration. Nearly every student depends on it within short, fixed windows, and deadlines come from exam regulations, so impact rises fast.</t>
        </is>
      </c>
    </row>
    <row r="8">
      <c r="A8" s="3" t="inlineStr">
        <is>
          <t>Result</t>
        </is>
      </c>
      <c r="B8" s="4" t="inlineStr">
        <is>
          <t>Peak MTPD 2 days, RTO 24 hours, RPO 1 hour. Off-peak MTPD 4 weeks, RTO 1 week, RPO 24 hours. Today's capability (about 72 h restore, 24 h data loss) misses the peak targets; see sheet Actions.</t>
        </is>
      </c>
    </row>
    <row r="9">
      <c r="A9" s="3" t="inlineStr">
        <is>
          <t>Method</t>
        </is>
      </c>
      <c r="B9" s="4" t="inlineStr">
        <is>
          <t>Impact rated 1 to 5 per category at seven points in time, for peak and off-peak weeks. MTPD is the first point where the highest impact reaches the threshold on sheet Impact Over Time (default 4 = Major). RTO must be at most half of MTPD to leave time for the backlog.</t>
        </is>
      </c>
    </row>
    <row r="10">
      <c r="A10" s="3" t="inlineStr">
        <is>
          <t>Sheets</t>
        </is>
      </c>
      <c r="B10" s="4" t="inlineStr">
        <is>
          <t>Process, Impact Over Time, RTO &amp; RPO, Dependencies, Linked Risks, Actions, Impact Scale, Sources</t>
        </is>
      </c>
    </row>
    <row r="11">
      <c r="A11" s="3" t="inlineStr">
        <is>
          <t>Colour key</t>
        </is>
      </c>
      <c r="B11" s="4" t="inlineStr">
        <is>
          <t>Yellow cells are inputs; blue cells are calculated.</t>
        </is>
      </c>
    </row>
    <row r="12">
      <c r="A12" s="3" t="inlineStr">
        <is>
          <t>Related files</t>
        </is>
      </c>
      <c r="B12" s="4" t="inlineStr">
        <is>
          <t>continuity-plan.md (one-page plan), tabletop-exercise.md (exercise scenario), ../risk-register/ (risk register)</t>
        </is>
      </c>
    </row>
    <row r="13">
      <c r="A13" s="3" t="inlineStr">
        <is>
          <t>Status</t>
        </is>
      </c>
      <c r="B13" s="4" t="inlineStr">
        <is>
          <t>Draft for review, October 2026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70" customWidth="1" min="3" max="3"/>
    <col width="30" customWidth="1" min="4" max="4"/>
    <col width="30" customWidth="1" min="5" max="5"/>
  </cols>
  <sheetData>
    <row r="1">
      <c r="A1" s="1" t="inlineStr">
        <is>
          <t>Process overview</t>
        </is>
      </c>
    </row>
    <row r="2">
      <c r="A2" s="2" t="inlineStr">
        <is>
          <t>Portfolio exercise based on ISO 22301 and ISO/IEC 27001:2022 (A.5.29, A.5.30). Public facts only; all internal details are invented. Not an official university document.</t>
        </is>
      </c>
    </row>
    <row r="4">
      <c r="A4" s="5" t="inlineStr">
        <is>
          <t>Step</t>
        </is>
      </c>
      <c r="B4" s="5" t="inlineStr">
        <is>
          <t>Name</t>
        </is>
      </c>
      <c r="C4" s="5" t="inlineStr">
        <is>
          <t>What happens</t>
        </is>
      </c>
      <c r="D4" s="5" t="inlineStr">
        <is>
          <t>Who</t>
        </is>
      </c>
      <c r="E4" s="5" t="inlineStr">
        <is>
          <t>When</t>
        </is>
      </c>
    </row>
    <row r="5">
      <c r="A5" s="6" t="inlineStr">
        <is>
          <t>1</t>
        </is>
      </c>
      <c r="B5" s="4" t="inlineStr">
        <is>
          <t>Set up exams</t>
        </is>
      </c>
      <c r="C5" s="4" t="inlineStr">
        <is>
          <t>Exam offices create exam dates, rooms and registration deadlines in LSF for each module.</t>
        </is>
      </c>
      <c r="D5" s="4" t="inlineStr">
        <is>
          <t>Exam offices (Prüfungssekretariate)</t>
        </is>
      </c>
      <c r="E5" s="4" t="inlineStr">
        <is>
          <t>Before each registration window</t>
        </is>
      </c>
    </row>
    <row r="6">
      <c r="A6" s="6" t="inlineStr">
        <is>
          <t>2</t>
        </is>
      </c>
      <c r="B6" s="4" t="inlineStr">
        <is>
          <t>Student registration</t>
        </is>
      </c>
      <c r="C6" s="4" t="inlineStr">
        <is>
          <t>Students log in with their university account and register online; each registration is confirmed with an iTAN. The deadline is shown at each exam.</t>
        </is>
      </c>
      <c r="D6" s="4" t="inlineStr">
        <is>
          <t>Students</t>
        </is>
      </c>
      <c r="E6" s="4" t="inlineStr">
        <is>
          <t>Registration window (peak)</t>
        </is>
      </c>
    </row>
    <row r="7">
      <c r="A7" s="6" t="inlineStr">
        <is>
          <t>3</t>
        </is>
      </c>
      <c r="B7" s="4" t="inlineStr">
        <is>
          <t>Withdrawal</t>
        </is>
      </c>
      <c r="C7" s="4" t="inlineStr">
        <is>
          <t>Students withdraw from exams online within the withdrawal period.</t>
        </is>
      </c>
      <c r="D7" s="4" t="inlineStr">
        <is>
          <t>Students</t>
        </is>
      </c>
      <c r="E7" s="4" t="inlineStr">
        <is>
          <t>Until shortly before the exam</t>
        </is>
      </c>
    </row>
    <row r="8">
      <c r="A8" s="6" t="inlineStr">
        <is>
          <t>4</t>
        </is>
      </c>
      <c r="B8" s="4" t="inlineStr">
        <is>
          <t>Attendance lists</t>
        </is>
      </c>
      <c r="C8" s="4" t="inlineStr">
        <is>
          <t>Exam offices export lists of registered students for examiners and room planning.</t>
        </is>
      </c>
      <c r="D8" s="4" t="inlineStr">
        <is>
          <t>Exam offices</t>
        </is>
      </c>
      <c r="E8" s="4" t="inlineStr">
        <is>
          <t>Days before each exam</t>
        </is>
      </c>
    </row>
    <row r="9">
      <c r="A9" s="6" t="inlineStr">
        <is>
          <t>5</t>
        </is>
      </c>
      <c r="B9" s="4" t="inlineStr">
        <is>
          <t>Grade entry</t>
        </is>
      </c>
      <c r="C9" s="4" t="inlineStr">
        <is>
          <t>Examiners or exam offices enter grades in LSF.</t>
        </is>
      </c>
      <c r="D9" s="4" t="inlineStr">
        <is>
          <t>Examiners, exam offices</t>
        </is>
      </c>
      <c r="E9" s="4" t="inlineStr">
        <is>
          <t>Grading deadline (peak)</t>
        </is>
      </c>
    </row>
    <row r="10">
      <c r="A10" s="6" t="inlineStr">
        <is>
          <t>6</t>
        </is>
      </c>
      <c r="B10" s="4" t="inlineStr">
        <is>
          <t>Results published</t>
        </is>
      </c>
      <c r="C10" s="4" t="inlineStr">
        <is>
          <t>Students see results and registration status in the HIS-Portal.</t>
        </is>
      </c>
      <c r="D10" s="4" t="inlineStr">
        <is>
          <t>Students</t>
        </is>
      </c>
      <c r="E10" s="4" t="inlineStr">
        <is>
          <t>After grade entry</t>
        </is>
      </c>
    </row>
    <row r="11">
      <c r="A11" s="6" t="inlineStr">
        <is>
          <t>7</t>
        </is>
      </c>
      <c r="B11" s="4" t="inlineStr">
        <is>
          <t>Transcripts and certificates</t>
        </is>
      </c>
      <c r="C11" s="4" t="inlineStr">
        <is>
          <t>Exam offices issue Transcripts of Records and degree certificates from the recorded grades.</t>
        </is>
      </c>
      <c r="D11" s="4" t="inlineStr">
        <is>
          <t>Exam offices</t>
        </is>
      </c>
      <c r="E11" s="4" t="inlineStr">
        <is>
          <t>All year</t>
        </is>
      </c>
    </row>
    <row r="13">
      <c r="A13" s="3" t="inlineStr">
        <is>
          <t>Peak periods (assumed for WiSe 2026/27)</t>
        </is>
      </c>
      <c r="B13" s="7" t="n"/>
      <c r="C13" s="8" t="n"/>
    </row>
    <row r="14">
      <c r="A14" s="3" t="inlineStr">
        <is>
          <t>Registration window</t>
        </is>
      </c>
      <c r="B14" s="8" t="n"/>
      <c r="C14" s="4" t="inlineStr">
        <is>
          <t>4 to 22 January 2027 (assumption); the last 3 days carry about 40% of registrations (assumption)</t>
        </is>
      </c>
      <c r="D14" s="7" t="n"/>
      <c r="E14" s="8" t="n"/>
    </row>
    <row r="15">
      <c r="A15" s="3" t="inlineStr">
        <is>
          <t>Exam period</t>
        </is>
      </c>
      <c r="B15" s="8" t="n"/>
      <c r="C15" s="4" t="inlineStr">
        <is>
          <t>From 8 February 2027, after the lecture period ends on 5 February 2027 (public date)</t>
        </is>
      </c>
      <c r="D15" s="7" t="n"/>
      <c r="E15" s="8" t="n"/>
    </row>
    <row r="16">
      <c r="A16" s="3" t="inlineStr">
        <is>
          <t>Grading deadline</t>
        </is>
      </c>
      <c r="B16" s="8" t="n"/>
      <c r="C16" s="4" t="inlineStr">
        <is>
          <t>Mid-March 2027 (assumption), before the semester ends on 31 March 2027 (public date)</t>
        </is>
      </c>
      <c r="D16" s="7" t="n"/>
      <c r="E16" s="8" t="n"/>
    </row>
    <row r="17">
      <c r="A17" s="3" t="inlineStr">
        <is>
          <t>Volume</t>
        </is>
      </c>
      <c r="B17" s="8" t="n"/>
      <c r="C17" s="4" t="inlineStr">
        <is>
          <t>About 60,000 exam registrations per winter term (assumption, based on about 16,300 students)</t>
        </is>
      </c>
      <c r="D17" s="7" t="n"/>
      <c r="E17" s="8" t="n"/>
    </row>
  </sheetData>
  <mergeCells count="9">
    <mergeCell ref="C16:E16"/>
    <mergeCell ref="C14:E14"/>
    <mergeCell ref="A13:C13"/>
    <mergeCell ref="A15:B15"/>
    <mergeCell ref="A16:B16"/>
    <mergeCell ref="A14:B14"/>
    <mergeCell ref="C17:E17"/>
    <mergeCell ref="A17:B17"/>
    <mergeCell ref="C15:E15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80" customWidth="1" min="9" max="9"/>
  </cols>
  <sheetData>
    <row r="1">
      <c r="A1" s="1" t="inlineStr">
        <is>
          <t>Impact over time if the process stops</t>
        </is>
      </c>
    </row>
    <row r="2">
      <c r="A2" s="2" t="inlineStr">
        <is>
          <t>Portfolio exercise based on ISO 22301 and ISO/IEC 27001:2022 (A.5.29, A.5.30). Public facts only; all internal details are invented. Not an official university document.</t>
        </is>
      </c>
    </row>
    <row r="3">
      <c r="A3" s="9" t="inlineStr">
        <is>
          <t>Unacceptable impact threshold (1 to 5):</t>
        </is>
      </c>
      <c r="D3" s="10" t="n">
        <v>4</v>
      </c>
      <c r="E3" s="11" t="inlineStr">
        <is>
          <t>MTPD = first point in time where the highest impact reaches this level.</t>
        </is>
      </c>
    </row>
    <row r="5">
      <c r="A5" s="12" t="inlineStr">
        <is>
          <t>Peak: registration window and grading deadline weeks</t>
        </is>
      </c>
      <c r="B5" s="7" t="n"/>
      <c r="C5" s="7" t="n"/>
      <c r="D5" s="7" t="n"/>
      <c r="E5" s="7" t="n"/>
      <c r="F5" s="7" t="n"/>
      <c r="G5" s="7" t="n"/>
      <c r="H5" s="7" t="n"/>
      <c r="I5" s="8" t="n"/>
    </row>
    <row r="6">
      <c r="A6" s="5" t="inlineStr">
        <is>
          <t>Impact category</t>
        </is>
      </c>
      <c r="B6" s="5" t="inlineStr">
        <is>
          <t>4 hours</t>
        </is>
      </c>
      <c r="C6" s="5" t="inlineStr">
        <is>
          <t>1 day</t>
        </is>
      </c>
      <c r="D6" s="5" t="inlineStr">
        <is>
          <t>2 days</t>
        </is>
      </c>
      <c r="E6" s="5" t="inlineStr">
        <is>
          <t>3 days</t>
        </is>
      </c>
      <c r="F6" s="5" t="inlineStr">
        <is>
          <t>1 week</t>
        </is>
      </c>
      <c r="G6" s="5" t="inlineStr">
        <is>
          <t>2 weeks</t>
        </is>
      </c>
      <c r="H6" s="5" t="inlineStr">
        <is>
          <t>4 weeks</t>
        </is>
      </c>
      <c r="I6" s="5" t="inlineStr">
        <is>
          <t>Reasoning</t>
        </is>
      </c>
    </row>
    <row r="7">
      <c r="A7" s="3" t="inlineStr">
        <is>
          <t>Hours</t>
        </is>
      </c>
      <c r="B7" s="6" t="n">
        <v>4</v>
      </c>
      <c r="C7" s="6" t="n">
        <v>24</v>
      </c>
      <c r="D7" s="6" t="n">
        <v>48</v>
      </c>
      <c r="E7" s="6" t="n">
        <v>72</v>
      </c>
      <c r="F7" s="6" t="n">
        <v>168</v>
      </c>
      <c r="G7" s="6" t="n">
        <v>336</v>
      </c>
      <c r="H7" s="6" t="n">
        <v>672</v>
      </c>
    </row>
    <row r="8">
      <c r="A8" s="3" t="inlineStr">
        <is>
          <t>Students &amp; teaching</t>
        </is>
      </c>
      <c r="B8" s="13" t="n">
        <v>2</v>
      </c>
      <c r="C8" s="13" t="n">
        <v>3</v>
      </c>
      <c r="D8" s="13" t="n">
        <v>4</v>
      </c>
      <c r="E8" s="13" t="n">
        <v>4</v>
      </c>
      <c r="F8" s="13" t="n">
        <v>5</v>
      </c>
      <c r="G8" s="13" t="n">
        <v>5</v>
      </c>
      <c r="H8" s="13" t="n">
        <v>5</v>
      </c>
      <c r="I8" s="4" t="inlineStr">
        <is>
          <t>Registration windows close on fixed dates and late registration is not possible where it is mandatory. After 2 days the last-minute registrations (assumed 40% of the total) are blocked.</t>
        </is>
      </c>
    </row>
    <row r="9">
      <c r="A9" s="3" t="inlineStr">
        <is>
          <t>Legal &amp; regulatory</t>
        </is>
      </c>
      <c r="B9" s="13" t="n">
        <v>1</v>
      </c>
      <c r="C9" s="13" t="n">
        <v>2</v>
      </c>
      <c r="D9" s="13" t="n">
        <v>3</v>
      </c>
      <c r="E9" s="13" t="n">
        <v>4</v>
      </c>
      <c r="F9" s="13" t="n">
        <v>5</v>
      </c>
      <c r="G9" s="13" t="n">
        <v>5</v>
      </c>
      <c r="H9" s="13" t="n">
        <v>5</v>
      </c>
      <c r="I9" s="4" t="inlineStr">
        <is>
          <t>Deadlines are set in the exam regulations; only exam boards can extend them. After 3 days several boards must decide in parallel and equal treatment of students is hard to show.</t>
        </is>
      </c>
    </row>
    <row r="10">
      <c r="A10" s="3" t="inlineStr">
        <is>
          <t>Reputation</t>
        </is>
      </c>
      <c r="B10" s="13" t="n">
        <v>1</v>
      </c>
      <c r="C10" s="13" t="n">
        <v>2</v>
      </c>
      <c r="D10" s="13" t="n">
        <v>3</v>
      </c>
      <c r="E10" s="13" t="n">
        <v>3</v>
      </c>
      <c r="F10" s="13" t="n">
        <v>4</v>
      </c>
      <c r="G10" s="13" t="n">
        <v>5</v>
      </c>
      <c r="H10" s="13" t="n">
        <v>5</v>
      </c>
      <c r="I10" s="4" t="inlineStr">
        <is>
          <t>Exam registration affects nearly every student at the same time, so complaints spread fast.</t>
        </is>
      </c>
    </row>
    <row r="11">
      <c r="A11" s="3" t="inlineStr">
        <is>
          <t>Operations &amp; workload</t>
        </is>
      </c>
      <c r="B11" s="13" t="n">
        <v>2</v>
      </c>
      <c r="C11" s="13" t="n">
        <v>3</v>
      </c>
      <c r="D11" s="13" t="n">
        <v>3</v>
      </c>
      <c r="E11" s="13" t="n">
        <v>4</v>
      </c>
      <c r="F11" s="13" t="n">
        <v>4</v>
      </c>
      <c r="G11" s="13" t="n">
        <v>5</v>
      </c>
      <c r="H11" s="13" t="n">
        <v>5</v>
      </c>
      <c r="I11" s="4" t="inlineStr">
        <is>
          <t>Exam offices fall back to written registration. Each day of outage adds several thousand forms to type in later (assumption).</t>
        </is>
      </c>
    </row>
    <row r="12">
      <c r="A12" s="3" t="inlineStr">
        <is>
          <t>Financial</t>
        </is>
      </c>
      <c r="B12" s="13" t="n">
        <v>1</v>
      </c>
      <c r="C12" s="13" t="n">
        <v>1</v>
      </c>
      <c r="D12" s="13" t="n">
        <v>1</v>
      </c>
      <c r="E12" s="13" t="n">
        <v>2</v>
      </c>
      <c r="F12" s="13" t="n">
        <v>2</v>
      </c>
      <c r="G12" s="13" t="n">
        <v>3</v>
      </c>
      <c r="H12" s="13" t="n">
        <v>3</v>
      </c>
      <c r="I12" s="4" t="inlineStr">
        <is>
          <t>Mainly overtime, vendor emergency support and possible extra exam dates.</t>
        </is>
      </c>
    </row>
    <row r="13">
      <c r="A13" s="3" t="inlineStr">
        <is>
          <t>Highest impact</t>
        </is>
      </c>
      <c r="B13" s="14">
        <f>MAX(B8:B12)</f>
        <v/>
      </c>
      <c r="C13" s="14">
        <f>MAX(C8:C12)</f>
        <v/>
      </c>
      <c r="D13" s="14">
        <f>MAX(D8:D12)</f>
        <v/>
      </c>
      <c r="E13" s="14">
        <f>MAX(E8:E12)</f>
        <v/>
      </c>
      <c r="F13" s="14">
        <f>MAX(F8:F12)</f>
        <v/>
      </c>
      <c r="G13" s="14">
        <f>MAX(G8:G12)</f>
        <v/>
      </c>
      <c r="H13" s="14">
        <f>MAX(H8:H12)</f>
        <v/>
      </c>
    </row>
    <row r="14">
      <c r="A14" s="3" t="inlineStr">
        <is>
          <t>Unacceptable?</t>
        </is>
      </c>
      <c r="B14" s="15">
        <f>IF(B13&gt;=$D$3,"Yes","No")</f>
        <v/>
      </c>
      <c r="C14" s="15">
        <f>IF(C13&gt;=$D$3,"Yes","No")</f>
        <v/>
      </c>
      <c r="D14" s="15">
        <f>IF(D13&gt;=$D$3,"Yes","No")</f>
        <v/>
      </c>
      <c r="E14" s="15">
        <f>IF(E13&gt;=$D$3,"Yes","No")</f>
        <v/>
      </c>
      <c r="F14" s="15">
        <f>IF(F13&gt;=$D$3,"Yes","No")</f>
        <v/>
      </c>
      <c r="G14" s="15">
        <f>IF(G13&gt;=$D$3,"Yes","No")</f>
        <v/>
      </c>
      <c r="H14" s="15">
        <f>IF(H13&gt;=$D$3,"Yes","No")</f>
        <v/>
      </c>
    </row>
    <row r="15">
      <c r="A15" s="3" t="inlineStr">
        <is>
          <t>MTPD</t>
        </is>
      </c>
      <c r="B15" s="14">
        <f>IFERROR(INDEX($B$6:$H$6,MATCH("Yes",B14:H14,0)),"&gt; 4 weeks")</f>
        <v/>
      </c>
      <c r="C15" s="8" t="n"/>
    </row>
    <row r="16">
      <c r="A16" s="3" t="inlineStr">
        <is>
          <t>MTPD in hours</t>
        </is>
      </c>
      <c r="B16" s="15">
        <f>IFERROR(INDEX($B$7:$H$7,MATCH("Yes",B14:H14,0)),9999)</f>
        <v/>
      </c>
    </row>
    <row r="18">
      <c r="A18" s="12" t="inlineStr">
        <is>
          <t>Off-peak: all other weeks</t>
        </is>
      </c>
      <c r="B18" s="7" t="n"/>
      <c r="C18" s="7" t="n"/>
      <c r="D18" s="7" t="n"/>
      <c r="E18" s="7" t="n"/>
      <c r="F18" s="7" t="n"/>
      <c r="G18" s="7" t="n"/>
      <c r="H18" s="7" t="n"/>
      <c r="I18" s="8" t="n"/>
    </row>
    <row r="19">
      <c r="A19" s="5" t="inlineStr">
        <is>
          <t>Impact category</t>
        </is>
      </c>
      <c r="B19" s="5" t="inlineStr">
        <is>
          <t>4 hours</t>
        </is>
      </c>
      <c r="C19" s="5" t="inlineStr">
        <is>
          <t>1 day</t>
        </is>
      </c>
      <c r="D19" s="5" t="inlineStr">
        <is>
          <t>2 days</t>
        </is>
      </c>
      <c r="E19" s="5" t="inlineStr">
        <is>
          <t>3 days</t>
        </is>
      </c>
      <c r="F19" s="5" t="inlineStr">
        <is>
          <t>1 week</t>
        </is>
      </c>
      <c r="G19" s="5" t="inlineStr">
        <is>
          <t>2 weeks</t>
        </is>
      </c>
      <c r="H19" s="5" t="inlineStr">
        <is>
          <t>4 weeks</t>
        </is>
      </c>
      <c r="I19" s="5" t="inlineStr">
        <is>
          <t>Reasoning</t>
        </is>
      </c>
    </row>
    <row r="20">
      <c r="A20" s="3" t="inlineStr">
        <is>
          <t>Hours</t>
        </is>
      </c>
      <c r="B20" s="6" t="n">
        <v>4</v>
      </c>
      <c r="C20" s="6" t="n">
        <v>24</v>
      </c>
      <c r="D20" s="6" t="n">
        <v>48</v>
      </c>
      <c r="E20" s="6" t="n">
        <v>72</v>
      </c>
      <c r="F20" s="6" t="n">
        <v>168</v>
      </c>
      <c r="G20" s="6" t="n">
        <v>336</v>
      </c>
      <c r="H20" s="6" t="n">
        <v>672</v>
      </c>
    </row>
    <row r="21">
      <c r="A21" s="3" t="inlineStr">
        <is>
          <t>Students &amp; teaching</t>
        </is>
      </c>
      <c r="B21" s="13" t="n">
        <v>1</v>
      </c>
      <c r="C21" s="13" t="n">
        <v>1</v>
      </c>
      <c r="D21" s="13" t="n">
        <v>1</v>
      </c>
      <c r="E21" s="13" t="n">
        <v>2</v>
      </c>
      <c r="F21" s="13" t="n">
        <v>2</v>
      </c>
      <c r="G21" s="13" t="n">
        <v>3</v>
      </c>
      <c r="H21" s="13" t="n">
        <v>4</v>
      </c>
      <c r="I21" s="4" t="inlineStr">
        <is>
          <t>Outside registration and grading weeks few students need the system on a given day; grade viewing can wait.</t>
        </is>
      </c>
    </row>
    <row r="22">
      <c r="A22" s="3" t="inlineStr">
        <is>
          <t>Legal &amp; regulatory</t>
        </is>
      </c>
      <c r="B22" s="13" t="n">
        <v>1</v>
      </c>
      <c r="C22" s="13" t="n">
        <v>1</v>
      </c>
      <c r="D22" s="13" t="n">
        <v>1</v>
      </c>
      <c r="E22" s="13" t="n">
        <v>1</v>
      </c>
      <c r="F22" s="13" t="n">
        <v>2</v>
      </c>
      <c r="G22" s="13" t="n">
        <v>2</v>
      </c>
      <c r="H22" s="13" t="n">
        <v>3</v>
      </c>
      <c r="I22" s="4" t="inlineStr">
        <is>
          <t>No deadline falls due in most off-peak weeks.</t>
        </is>
      </c>
    </row>
    <row r="23">
      <c r="A23" s="3" t="inlineStr">
        <is>
          <t>Reputation</t>
        </is>
      </c>
      <c r="B23" s="13" t="n">
        <v>1</v>
      </c>
      <c r="C23" s="13" t="n">
        <v>1</v>
      </c>
      <c r="D23" s="13" t="n">
        <v>1</v>
      </c>
      <c r="E23" s="13" t="n">
        <v>1</v>
      </c>
      <c r="F23" s="13" t="n">
        <v>2</v>
      </c>
      <c r="G23" s="13" t="n">
        <v>2</v>
      </c>
      <c r="H23" s="13" t="n">
        <v>3</v>
      </c>
      <c r="I23" s="4" t="inlineStr">
        <is>
          <t>Limited visibility until the outage becomes long.</t>
        </is>
      </c>
    </row>
    <row r="24">
      <c r="A24" s="3" t="inlineStr">
        <is>
          <t>Operations &amp; workload</t>
        </is>
      </c>
      <c r="B24" s="13" t="n">
        <v>1</v>
      </c>
      <c r="C24" s="13" t="n">
        <v>1</v>
      </c>
      <c r="D24" s="13" t="n">
        <v>2</v>
      </c>
      <c r="E24" s="13" t="n">
        <v>2</v>
      </c>
      <c r="F24" s="13" t="n">
        <v>3</v>
      </c>
      <c r="G24" s="13" t="n">
        <v>3</v>
      </c>
      <c r="H24" s="13" t="n">
        <v>4</v>
      </c>
      <c r="I24" s="4" t="inlineStr">
        <is>
          <t>Exam offices can queue certificate and transcript requests for a while.</t>
        </is>
      </c>
    </row>
    <row r="25">
      <c r="A25" s="3" t="inlineStr">
        <is>
          <t>Financial</t>
        </is>
      </c>
      <c r="B25" s="13" t="n">
        <v>1</v>
      </c>
      <c r="C25" s="13" t="n">
        <v>1</v>
      </c>
      <c r="D25" s="13" t="n">
        <v>1</v>
      </c>
      <c r="E25" s="13" t="n">
        <v>1</v>
      </c>
      <c r="F25" s="13" t="n">
        <v>1</v>
      </c>
      <c r="G25" s="13" t="n">
        <v>1</v>
      </c>
      <c r="H25" s="13" t="n">
        <v>2</v>
      </c>
      <c r="I25" s="4" t="inlineStr">
        <is>
          <t>Low.</t>
        </is>
      </c>
    </row>
    <row r="26">
      <c r="A26" s="3" t="inlineStr">
        <is>
          <t>Highest impact</t>
        </is>
      </c>
      <c r="B26" s="14">
        <f>MAX(B21:B25)</f>
        <v/>
      </c>
      <c r="C26" s="14">
        <f>MAX(C21:C25)</f>
        <v/>
      </c>
      <c r="D26" s="14">
        <f>MAX(D21:D25)</f>
        <v/>
      </c>
      <c r="E26" s="14">
        <f>MAX(E21:E25)</f>
        <v/>
      </c>
      <c r="F26" s="14">
        <f>MAX(F21:F25)</f>
        <v/>
      </c>
      <c r="G26" s="14">
        <f>MAX(G21:G25)</f>
        <v/>
      </c>
      <c r="H26" s="14">
        <f>MAX(H21:H25)</f>
        <v/>
      </c>
    </row>
    <row r="27">
      <c r="A27" s="3" t="inlineStr">
        <is>
          <t>Unacceptable?</t>
        </is>
      </c>
      <c r="B27" s="15">
        <f>IF(B26&gt;=$D$3,"Yes","No")</f>
        <v/>
      </c>
      <c r="C27" s="15">
        <f>IF(C26&gt;=$D$3,"Yes","No")</f>
        <v/>
      </c>
      <c r="D27" s="15">
        <f>IF(D26&gt;=$D$3,"Yes","No")</f>
        <v/>
      </c>
      <c r="E27" s="15">
        <f>IF(E26&gt;=$D$3,"Yes","No")</f>
        <v/>
      </c>
      <c r="F27" s="15">
        <f>IF(F26&gt;=$D$3,"Yes","No")</f>
        <v/>
      </c>
      <c r="G27" s="15">
        <f>IF(G26&gt;=$D$3,"Yes","No")</f>
        <v/>
      </c>
      <c r="H27" s="15">
        <f>IF(H26&gt;=$D$3,"Yes","No")</f>
        <v/>
      </c>
    </row>
    <row r="28">
      <c r="A28" s="3" t="inlineStr">
        <is>
          <t>MTPD</t>
        </is>
      </c>
      <c r="B28" s="14">
        <f>IFERROR(INDEX($B$19:$H$19,MATCH("Yes",B27:H27,0)),"&gt; 4 weeks")</f>
        <v/>
      </c>
      <c r="C28" s="8" t="n"/>
    </row>
    <row r="29">
      <c r="A29" s="3" t="inlineStr">
        <is>
          <t>MTPD in hours</t>
        </is>
      </c>
      <c r="B29" s="15">
        <f>IFERROR(INDEX($B$20:$H$20,MATCH("Yes",B27:H27,0)),9999)</f>
        <v/>
      </c>
    </row>
  </sheetData>
  <mergeCells count="4">
    <mergeCell ref="A5:I5"/>
    <mergeCell ref="A18:I18"/>
    <mergeCell ref="B15:C15"/>
    <mergeCell ref="B28:C28"/>
  </mergeCells>
  <conditionalFormatting sqref="B8:H8">
    <cfRule type="cellIs" priority="1" operator="greaterThanOrEqual" dxfId="0">
      <formula>$D$3</formula>
    </cfRule>
  </conditionalFormatting>
  <conditionalFormatting sqref="B9:H9">
    <cfRule type="cellIs" priority="2" operator="greaterThanOrEqual" dxfId="0">
      <formula>$D$3</formula>
    </cfRule>
  </conditionalFormatting>
  <conditionalFormatting sqref="B10:H10">
    <cfRule type="cellIs" priority="3" operator="greaterThanOrEqual" dxfId="0">
      <formula>$D$3</formula>
    </cfRule>
  </conditionalFormatting>
  <conditionalFormatting sqref="B11:H11">
    <cfRule type="cellIs" priority="4" operator="greaterThanOrEqual" dxfId="0">
      <formula>$D$3</formula>
    </cfRule>
  </conditionalFormatting>
  <conditionalFormatting sqref="B12:H12">
    <cfRule type="cellIs" priority="5" operator="greaterThanOrEqual" dxfId="0">
      <formula>$D$3</formula>
    </cfRule>
  </conditionalFormatting>
  <conditionalFormatting sqref="B13:H13">
    <cfRule type="cellIs" priority="6" operator="greaterThanOrEqual" dxfId="0">
      <formula>$D$3</formula>
    </cfRule>
  </conditionalFormatting>
  <conditionalFormatting sqref="B21:H21">
    <cfRule type="cellIs" priority="7" operator="greaterThanOrEqual" dxfId="0">
      <formula>$D$3</formula>
    </cfRule>
  </conditionalFormatting>
  <conditionalFormatting sqref="B22:H22">
    <cfRule type="cellIs" priority="8" operator="greaterThanOrEqual" dxfId="0">
      <formula>$D$3</formula>
    </cfRule>
  </conditionalFormatting>
  <conditionalFormatting sqref="B23:H23">
    <cfRule type="cellIs" priority="9" operator="greaterThanOrEqual" dxfId="0">
      <formula>$D$3</formula>
    </cfRule>
  </conditionalFormatting>
  <conditionalFormatting sqref="B24:H24">
    <cfRule type="cellIs" priority="10" operator="greaterThanOrEqual" dxfId="0">
      <formula>$D$3</formula>
    </cfRule>
  </conditionalFormatting>
  <conditionalFormatting sqref="B25:H25">
    <cfRule type="cellIs" priority="11" operator="greaterThanOrEqual" dxfId="0">
      <formula>$D$3</formula>
    </cfRule>
  </conditionalFormatting>
  <conditionalFormatting sqref="B26:H26">
    <cfRule type="cellIs" priority="12" operator="greaterThanOrEqual" dxfId="0">
      <formula>$D$3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0" customWidth="1" min="4" max="4"/>
  </cols>
  <sheetData>
    <row r="1">
      <c r="A1" s="1" t="inlineStr">
        <is>
          <t>Recovery targets and current capability</t>
        </is>
      </c>
    </row>
    <row r="2">
      <c r="A2" s="2" t="inlineStr">
        <is>
          <t>Portfolio exercise based on ISO 22301 and ISO/IEC 27001:2022 (A.5.29, A.5.30). Public facts only; all internal details are invented. Not an official university document.</t>
        </is>
      </c>
    </row>
    <row r="4">
      <c r="A4" s="5" t="inlineStr">
        <is>
          <t>Measure</t>
        </is>
      </c>
      <c r="B4" s="5" t="inlineStr">
        <is>
          <t>Peak</t>
        </is>
      </c>
      <c r="C4" s="5" t="inlineStr">
        <is>
          <t>Off-peak</t>
        </is>
      </c>
      <c r="D4" s="5" t="inlineStr">
        <is>
          <t>Reasoning</t>
        </is>
      </c>
    </row>
    <row r="5">
      <c r="A5" s="3" t="inlineStr">
        <is>
          <t>MTPD (from Impact Over Time)</t>
        </is>
      </c>
      <c r="B5" s="14">
        <f>'Impact Over Time'!B15</f>
        <v/>
      </c>
      <c r="C5" s="14">
        <f>'Impact Over Time'!B28</f>
        <v/>
      </c>
      <c r="D5" s="4" t="inlineStr">
        <is>
          <t>Maximum tolerable period of disruption: after this the damage is no longer acceptable.</t>
        </is>
      </c>
    </row>
    <row r="6">
      <c r="A6" s="3" t="inlineStr">
        <is>
          <t>MTPD in hours</t>
        </is>
      </c>
      <c r="B6" s="14">
        <f>'Impact Over Time'!B16</f>
        <v/>
      </c>
      <c r="C6" s="14">
        <f>'Impact Over Time'!B29</f>
        <v/>
      </c>
      <c r="D6" s="4" t="inlineStr"/>
    </row>
    <row r="7">
      <c r="A7" s="3" t="inlineStr">
        <is>
          <t>RTO target (hours)</t>
        </is>
      </c>
      <c r="B7" s="13" t="n">
        <v>24</v>
      </c>
      <c r="C7" s="13" t="n">
        <v>168</v>
      </c>
      <c r="D7" s="4" t="inlineStr">
        <is>
          <t>Peak: back within one day, which leaves the second day to process paper registrations and announce any extension before the MTPD is reached. Off-peak: one week, so a normal rebuild with vendor support is enough.</t>
        </is>
      </c>
    </row>
    <row r="8">
      <c r="A8" s="3" t="inlineStr">
        <is>
          <t>RTO check (RTO at most half of MTPD)</t>
        </is>
      </c>
      <c r="B8" s="14">
        <f>IF(B7&lt;=B6/2,"OK","Too long")</f>
        <v/>
      </c>
      <c r="C8" s="14">
        <f>IF(C7&lt;=C6/2,"OK","Too long")</f>
        <v/>
      </c>
      <c r="D8" s="4" t="inlineStr">
        <is>
          <t>Half of MTPD is this kit's rule of thumb to leave time for the backlog after recovery.</t>
        </is>
      </c>
    </row>
    <row r="9">
      <c r="A9" s="3" t="inlineStr">
        <is>
          <t>RPO target (hours of data loss)</t>
        </is>
      </c>
      <c r="B9" s="13" t="n">
        <v>1</v>
      </c>
      <c r="C9" s="13" t="n">
        <v>24</v>
      </c>
      <c r="D9" s="4" t="inlineStr">
        <is>
          <t>Peak: registrations are confirmed by students with an iTAN and cannot be repeated after the deadline. On the last day of a window about 10,000 registrations arrive, up to 1,000 in the busiest hour (assumption); a lost day could not be reconstructed. Off-peak: few changes per day, and grades come from examiners' own lists, so they can be entered again.</t>
        </is>
      </c>
    </row>
    <row r="10">
      <c r="A10" s="3" t="inlineStr">
        <is>
          <t>Current recovery time (hours)</t>
        </is>
      </c>
      <c r="B10" s="13" t="n">
        <v>72</v>
      </c>
      <c r="C10" s="13" t="n">
        <v>72</v>
      </c>
      <c r="D10" s="4" t="inlineStr">
        <is>
          <t>Rebuild on new virtual machines, restore the nightly backup, vendor support next business day (assumption).</t>
        </is>
      </c>
    </row>
    <row r="11">
      <c r="A11" s="3" t="inlineStr">
        <is>
          <t>Current data loss (hours)</t>
        </is>
      </c>
      <c r="B11" s="13" t="n">
        <v>24</v>
      </c>
      <c r="C11" s="13" t="n">
        <v>24</v>
      </c>
      <c r="D11" s="4" t="inlineStr">
        <is>
          <t>Daily database backup (existing control in R07); worst case is a failure just before the next backup.</t>
        </is>
      </c>
    </row>
    <row r="12">
      <c r="A12" s="3" t="inlineStr">
        <is>
          <t>RTO gap</t>
        </is>
      </c>
      <c r="B12" s="14">
        <f>IF(B10&gt;B7,"Gap: "&amp;(B10-B7)&amp;" h","OK")</f>
        <v/>
      </c>
      <c r="C12" s="14">
        <f>IF(C10&gt;C7,"Gap: "&amp;(C10-C7)&amp;" h","OK")</f>
        <v/>
      </c>
      <c r="D12" s="4" t="inlineStr">
        <is>
          <t>Closed by actions BIA-A2, BIA-A3 and BIA-A6.</t>
        </is>
      </c>
    </row>
    <row r="13">
      <c r="A13" s="3" t="inlineStr">
        <is>
          <t>RPO gap</t>
        </is>
      </c>
      <c r="B13" s="14">
        <f>IF(B11&gt;B9,"Gap: "&amp;(B11-B9)&amp;" h","OK")</f>
        <v/>
      </c>
      <c r="C13" s="14">
        <f>IF(C11&gt;C9,"Gap: "&amp;(C11-C9)&amp;" h","OK")</f>
        <v/>
      </c>
      <c r="D13" s="4" t="inlineStr">
        <is>
          <t>Closed by action BIA-A1. Depends on offline backups from R01 and the second site from R12.</t>
        </is>
      </c>
    </row>
    <row r="14">
      <c r="A14" s="3" t="inlineStr">
        <is>
          <t>Minimum service level during disruption</t>
        </is>
      </c>
      <c r="B14" s="6" t="inlineStr">
        <is>
          <t>Written registration at exam offices; deadline extension</t>
        </is>
      </c>
      <c r="C14" s="6" t="inlineStr">
        <is>
          <t>Queue requests</t>
        </is>
      </c>
      <c r="D14" s="4" t="inlineStr">
        <is>
          <t>From the public Systems Engineering exam page: if online registration fails, students register in writing within the deadline. Details in continuity-plan.md.</t>
        </is>
      </c>
    </row>
  </sheetData>
  <conditionalFormatting sqref="B8:C8">
    <cfRule type="expression" priority="1" dxfId="0">
      <formula>LEFT(B8,2)&lt;&gt;"OK"</formula>
    </cfRule>
    <cfRule type="expression" priority="2" dxfId="1">
      <formula>LEFT(B8,2)="OK"</formula>
    </cfRule>
  </conditionalFormatting>
  <conditionalFormatting sqref="B12:C13">
    <cfRule type="expression" priority="3" dxfId="0">
      <formula>LEFT(B12,2)&lt;&gt;"OK"</formula>
    </cfRule>
    <cfRule type="expression" priority="4" dxfId="1">
      <formula>LEFT(B12,2)="OK"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50" customWidth="1" min="4" max="4"/>
    <col width="14" customWidth="1" min="5" max="5"/>
    <col width="15" customWidth="1" min="6" max="6"/>
    <col width="45" customWidth="1" min="7" max="7"/>
  </cols>
  <sheetData>
    <row r="1">
      <c r="A1" s="1" t="inlineStr">
        <is>
          <t>Resources the process depends on</t>
        </is>
      </c>
    </row>
    <row r="2">
      <c r="A2" s="2" t="inlineStr">
        <is>
          <t>Portfolio exercise based on ISO 22301 and ISO/IEC 27001:2022 (A.5.29, A.5.30). Public facts only; all internal details are invented. Not an official university document.</t>
        </is>
      </c>
    </row>
    <row r="4">
      <c r="A4" s="5" t="inlineStr">
        <is>
          <t>Dependency</t>
        </is>
      </c>
      <c r="B4" s="5" t="inlineStr">
        <is>
          <t>Type</t>
        </is>
      </c>
      <c r="C4" s="5" t="inlineStr">
        <is>
          <t>Process steps</t>
        </is>
      </c>
      <c r="D4" s="5" t="inlineStr">
        <is>
          <t>Current recovery capability</t>
        </is>
      </c>
      <c r="E4" s="5" t="inlineStr">
        <is>
          <t>Needed within (hours, peak)</t>
        </is>
      </c>
      <c r="F4" s="5" t="inlineStr">
        <is>
          <t>Linked risks</t>
        </is>
      </c>
      <c r="G4" s="5" t="inlineStr">
        <is>
          <t>Note</t>
        </is>
      </c>
    </row>
    <row r="5">
      <c r="A5" s="4" t="inlineStr">
        <is>
          <t>LSF application servers</t>
        </is>
      </c>
      <c r="B5" s="6" t="inlineStr">
        <is>
          <t>IT system</t>
        </is>
      </c>
      <c r="C5" s="6" t="inlineStr">
        <is>
          <t>1-7</t>
        </is>
      </c>
      <c r="D5" s="4" t="inlineStr">
        <is>
          <t>Rebuild on new virtual machines and restore from backup; estimated 72 h (assumption)</t>
        </is>
      </c>
      <c r="E5" s="13" t="n">
        <v>24</v>
      </c>
      <c r="F5" s="6" t="inlineStr">
        <is>
          <t>R07, R01, R12</t>
        </is>
      </c>
      <c r="G5" s="4" t="inlineStr">
        <is>
          <t>Core of the process. Today no standby system.</t>
        </is>
      </c>
    </row>
    <row r="6">
      <c r="A6" s="4" t="inlineStr">
        <is>
          <t>Exam database (registrations and grades)</t>
        </is>
      </c>
      <c r="B6" s="6" t="inlineStr">
        <is>
          <t>Data</t>
        </is>
      </c>
      <c r="C6" s="6" t="inlineStr">
        <is>
          <t>2-7</t>
        </is>
      </c>
      <c r="D6" s="4" t="inlineStr">
        <is>
          <t>Nightly backup on disk in the same building; up to 24 h data loss</t>
        </is>
      </c>
      <c r="E6" s="13" t="n">
        <v>24</v>
      </c>
      <c r="F6" s="6" t="inlineStr">
        <is>
          <t>R01, R12, R08</t>
        </is>
      </c>
      <c r="G6" s="4" t="inlineStr">
        <is>
          <t>Holds legally relevant records.</t>
        </is>
      </c>
    </row>
    <row r="7">
      <c r="A7" s="4" t="inlineStr">
        <is>
          <t>Single sign-on and directory service</t>
        </is>
      </c>
      <c r="B7" s="6" t="inlineStr">
        <is>
          <t>IT system</t>
        </is>
      </c>
      <c r="C7" s="6" t="inlineStr">
        <is>
          <t>2, 5, 6</t>
        </is>
      </c>
      <c r="D7" s="4" t="inlineStr">
        <is>
          <t>Restore from backup; estimated 24 h (assumption)</t>
        </is>
      </c>
      <c r="E7" s="13" t="n">
        <v>4</v>
      </c>
      <c r="F7" s="6" t="inlineStr">
        <is>
          <t>R01, R08, R09</t>
        </is>
      </c>
      <c r="G7" s="4" t="inlineStr">
        <is>
          <t>Without login nobody can register or enter grades.</t>
        </is>
      </c>
    </row>
    <row r="8">
      <c r="A8" s="4" t="inlineStr">
        <is>
          <t>iTAN confirmation</t>
        </is>
      </c>
      <c r="B8" s="6" t="inlineStr">
        <is>
          <t>IT function</t>
        </is>
      </c>
      <c r="C8" s="6" t="inlineStr">
        <is>
          <t>2, 3</t>
        </is>
      </c>
      <c r="D8" s="4" t="inlineStr">
        <is>
          <t>Part of LSF; no separate recovery</t>
        </is>
      </c>
      <c r="E8" s="13" t="n">
        <v>24</v>
      </c>
      <c r="F8" s="6" t="inlineStr">
        <is>
          <t>R07</t>
        </is>
      </c>
      <c r="G8" s="4" t="inlineStr">
        <is>
          <t>Fallback: written registration at the exam office.</t>
        </is>
      </c>
    </row>
    <row r="9">
      <c r="A9" s="4" t="inlineStr">
        <is>
          <t>Campus network and external uplink</t>
        </is>
      </c>
      <c r="B9" s="6" t="inlineStr">
        <is>
          <t>Infrastructure</t>
        </is>
      </c>
      <c r="C9" s="6" t="inlineStr">
        <is>
          <t>2, 3, 5, 6</t>
        </is>
      </c>
      <c r="D9" s="4" t="inlineStr">
        <is>
          <t>Single uplink path; provider SLA (assumption)</t>
        </is>
      </c>
      <c r="E9" s="13" t="n">
        <v>24</v>
      </c>
      <c r="F9" s="6" t="inlineStr">
        <is>
          <t>R05, R13</t>
        </is>
      </c>
      <c r="G9" s="4" t="inlineStr">
        <is>
          <t>Most students register from home.</t>
        </is>
      </c>
    </row>
    <row r="10">
      <c r="A10" s="4" t="inlineStr">
        <is>
          <t>Data centre power and cooling</t>
        </is>
      </c>
      <c r="B10" s="6" t="inlineStr">
        <is>
          <t>Facility</t>
        </is>
      </c>
      <c r="C10" s="6" t="inlineStr">
        <is>
          <t>All</t>
        </is>
      </c>
      <c r="D10" s="4" t="inlineStr">
        <is>
          <t>UPS for short outages; generator test planned</t>
        </is>
      </c>
      <c r="E10" s="13" t="n">
        <v>4</v>
      </c>
      <c r="F10" s="6" t="inlineStr">
        <is>
          <t>R12</t>
        </is>
      </c>
      <c r="G10" s="4" t="inlineStr">
        <is>
          <t>Same building as the backups.</t>
        </is>
      </c>
    </row>
    <row r="11">
      <c r="A11" s="4" t="inlineStr">
        <is>
          <t>Email and university website</t>
        </is>
      </c>
      <c r="B11" s="6" t="inlineStr">
        <is>
          <t>IT system</t>
        </is>
      </c>
      <c r="C11" s="6" t="inlineStr">
        <is>
          <t>Communication</t>
        </is>
      </c>
      <c r="D11" s="4" t="inlineStr">
        <is>
          <t>Hosted separately from LSF (assumption)</t>
        </is>
      </c>
      <c r="E11" s="13" t="n">
        <v>4</v>
      </c>
      <c r="F11" s="6" t="inlineStr">
        <is>
          <t>R05, R13, R02</t>
        </is>
      </c>
      <c r="G11" s="4" t="inlineStr">
        <is>
          <t>Needed to tell students about extensions.</t>
        </is>
      </c>
    </row>
    <row r="12">
      <c r="A12" s="4" t="inlineStr">
        <is>
          <t>LSF administrators at HIZ (2 people)</t>
        </is>
      </c>
      <c r="B12" s="6" t="inlineStr">
        <is>
          <t>People</t>
        </is>
      </c>
      <c r="C12" s="6" t="inlineStr">
        <is>
          <t>All</t>
        </is>
      </c>
      <c r="D12" s="4" t="inlineStr">
        <is>
          <t>Informal deputy only</t>
        </is>
      </c>
      <c r="E12" s="13" t="n">
        <v>4</v>
      </c>
      <c r="F12" s="6" t="inlineStr">
        <is>
          <t>R17</t>
        </is>
      </c>
      <c r="G12" s="4" t="inlineStr">
        <is>
          <t>Key-person risk: thin runbooks.</t>
        </is>
      </c>
    </row>
    <row r="13">
      <c r="A13" s="4" t="inlineStr">
        <is>
          <t>Exam office staff in each faculty</t>
        </is>
      </c>
      <c r="B13" s="6" t="inlineStr">
        <is>
          <t>People</t>
        </is>
      </c>
      <c r="C13" s="6" t="inlineStr">
        <is>
          <t>1, 2, 4, 7</t>
        </is>
      </c>
      <c r="D13" s="4" t="inlineStr">
        <is>
          <t>Can work on paper for a limited time</t>
        </is>
      </c>
      <c r="E13" s="13" t="n">
        <v>4</v>
      </c>
      <c r="F13" s="6" t="inlineStr">
        <is>
          <t>R17</t>
        </is>
      </c>
      <c r="G13" s="4" t="inlineStr">
        <is>
          <t>Carry the manual fallback.</t>
        </is>
      </c>
    </row>
    <row r="14">
      <c r="A14" s="4" t="inlineStr">
        <is>
          <t>Software vendor support</t>
        </is>
      </c>
      <c r="B14" s="6" t="inlineStr">
        <is>
          <t>Supplier</t>
        </is>
      </c>
      <c r="C14" s="6" t="inlineStr">
        <is>
          <t>All</t>
        </is>
      </c>
      <c r="D14" s="4" t="inlineStr">
        <is>
          <t>Standard support contract, next business day (assumption)</t>
        </is>
      </c>
      <c r="E14" s="13" t="n">
        <v>24</v>
      </c>
      <c r="F14" s="6" t="inlineStr">
        <is>
          <t>R05, R07</t>
        </is>
      </c>
      <c r="G14" s="4" t="inlineStr">
        <is>
          <t>Needed for database repair and upgrades.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45" customWidth="1" min="3" max="3"/>
    <col width="13" customWidth="1" min="4" max="4"/>
    <col width="70" customWidth="1" min="5" max="5"/>
  </cols>
  <sheetData>
    <row r="1">
      <c r="A1" s="1" t="inlineStr">
        <is>
          <t>Risks from the register that can stop this process</t>
        </is>
      </c>
    </row>
    <row r="2">
      <c r="A2" s="2" t="inlineStr">
        <is>
          <t>Portfolio exercise based on ISO 22301 and ISO/IEC 27001:2022 (A.5.29, A.5.30). Public facts only; all internal details are invented. Not an official university document.</t>
        </is>
      </c>
    </row>
    <row r="4">
      <c r="A4" s="5" t="inlineStr">
        <is>
          <t>Risk ID</t>
        </is>
      </c>
      <c r="B4" s="5" t="inlineStr">
        <is>
          <t>Risk title</t>
        </is>
      </c>
      <c r="C4" s="5" t="inlineStr">
        <is>
          <t>How it disrupts the process</t>
        </is>
      </c>
      <c r="D4" s="5" t="inlineStr">
        <is>
          <t>Inherent score (register)</t>
        </is>
      </c>
      <c r="E4" s="5" t="inlineStr">
        <is>
          <t>What the BIA adds</t>
        </is>
      </c>
    </row>
    <row r="5">
      <c r="A5" s="6" t="inlineStr">
        <is>
          <t>R07</t>
        </is>
      </c>
      <c r="B5" s="4" t="inlineStr">
        <is>
          <t>Campus management system failure during enrolment or exam registration</t>
        </is>
      </c>
      <c r="C5" s="4" t="inlineStr">
        <is>
          <t>Direct outage of LSF during a registration window.</t>
        </is>
      </c>
      <c r="D5" s="6" t="n">
        <v>8</v>
      </c>
      <c r="E5" s="4" t="inlineStr">
        <is>
          <t>Main scenario of this BIA. The planned manual fallback and deadline extension procedure (due 28 Feb 2027) is written up in the continuity plan.</t>
        </is>
      </c>
    </row>
    <row r="6">
      <c r="A6" s="6" t="inlineStr">
        <is>
          <t>R01</t>
        </is>
      </c>
      <c r="B6" s="4" t="inlineStr">
        <is>
          <t>Ransomware on central IT infrastructure</t>
        </is>
      </c>
      <c r="C6" s="4" t="inlineStr">
        <is>
          <t>Encrypts LSF servers, database and possibly the nightly backups.</t>
        </is>
      </c>
      <c r="D6" s="6" t="n">
        <v>20</v>
      </c>
      <c r="E6" s="4" t="inlineStr">
        <is>
          <t>Worst case for RTO and RPO: backups in the same environment may be lost. Offline backup (R01 action) is a precondition for the RPO target.</t>
        </is>
      </c>
    </row>
    <row r="7">
      <c r="A7" s="6" t="inlineStr">
        <is>
          <t>R12</t>
        </is>
      </c>
      <c r="B7" s="4" t="inlineStr">
        <is>
          <t>Fire, water or power failure in the data centre</t>
        </is>
      </c>
      <c r="C7" s="4" t="inlineStr">
        <is>
          <t>Destroys servers and backups kept in the same building.</t>
        </is>
      </c>
      <c r="D7" s="6" t="n">
        <v>10</v>
      </c>
      <c r="E7" s="4" t="inlineStr">
        <is>
          <t>Second backup site (R12 action, due 31 Oct 2026) is needed for any recovery.</t>
        </is>
      </c>
    </row>
    <row r="8">
      <c r="A8" s="6" t="inlineStr">
        <is>
          <t>R05</t>
        </is>
      </c>
      <c r="B8" s="4" t="inlineStr">
        <is>
          <t>Outage of a critical IT or network supplier</t>
        </is>
      </c>
      <c r="C8" s="4" t="inlineStr">
        <is>
          <t>Uplink loss stops students registering from home; vendor delay slows repair.</t>
        </is>
      </c>
      <c r="D8" s="6" t="n">
        <v>8</v>
      </c>
      <c r="E8" s="4" t="inlineStr">
        <is>
          <t>Fallback: on-campus PC pools and written registration.</t>
        </is>
      </c>
    </row>
    <row r="9">
      <c r="A9" s="6" t="inlineStr">
        <is>
          <t>R13</t>
        </is>
      </c>
      <c r="B9" s="4" t="inlineStr">
        <is>
          <t>Denial-of-service attack on website and network</t>
        </is>
      </c>
      <c r="C9" s="4" t="inlineStr">
        <is>
          <t>Overload during the registration deadline.</t>
        </is>
      </c>
      <c r="D9" s="6" t="n">
        <v>9</v>
      </c>
      <c r="E9" s="4" t="inlineStr">
        <is>
          <t>Accepted risk in the register; the BIA shows it is most harmful in peak weeks. Suggest review of the acceptance.</t>
        </is>
      </c>
    </row>
    <row r="10">
      <c r="A10" s="6" t="inlineStr">
        <is>
          <t>R15</t>
        </is>
      </c>
      <c r="B10" s="4" t="inlineStr">
        <is>
          <t>Attacks detected too late</t>
        </is>
      </c>
      <c r="C10" s="4" t="inlineStr">
        <is>
          <t>A compromise of LSF is found late, so clean restore points are older.</t>
        </is>
      </c>
      <c r="D10" s="6" t="n">
        <v>16</v>
      </c>
      <c r="E10" s="4" t="inlineStr">
        <is>
          <t>Late detection widens the real data loss beyond the RPO.</t>
        </is>
      </c>
    </row>
    <row r="11">
      <c r="A11" s="6" t="inlineStr">
        <is>
          <t>R17</t>
        </is>
      </c>
      <c r="B11" s="4" t="inlineStr">
        <is>
          <t>Loss of key IT staff and knowledge</t>
        </is>
      </c>
      <c r="C11" s="4" t="inlineStr">
        <is>
          <t>Only two LSF administrators know the restore steps.</t>
        </is>
      </c>
      <c r="D11" s="6" t="n">
        <v>9</v>
      </c>
      <c r="E11" s="4" t="inlineStr">
        <is>
          <t>Runbook for LSF restore is part of the actions below.</t>
        </is>
      </c>
    </row>
    <row r="12">
      <c r="A12" s="6" t="inlineStr">
        <is>
          <t>R08</t>
        </is>
      </c>
      <c r="B12" s="4" t="inlineStr">
        <is>
          <t>Misuse of privileged administrator accounts</t>
        </is>
      </c>
      <c r="C12" s="4" t="inlineStr">
        <is>
          <t>Grades or registrations changed without trace.</t>
        </is>
      </c>
      <c r="D12" s="6" t="n">
        <v>10</v>
      </c>
      <c r="E12" s="4" t="inlineStr">
        <is>
          <t>Integrity issue: restore from backup must be checked against change logs.</t>
        </is>
      </c>
    </row>
    <row r="14">
      <c r="A14" s="11" t="inlineStr">
        <is>
          <t>Scores copied from ../risk-register/saarland-university-risk-register.xlsx on 8 October 2026.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70" customWidth="1" min="2" max="2"/>
    <col width="26" customWidth="1" min="3" max="3"/>
    <col width="34" customWidth="1" min="4" max="4"/>
    <col width="13" customWidth="1" min="5" max="5"/>
    <col width="13" customWidth="1" min="6" max="6"/>
    <col width="12" customWidth="1" min="7" max="7"/>
  </cols>
  <sheetData>
    <row r="1">
      <c r="A1" s="1" t="inlineStr">
        <is>
          <t>Actions to close the gaps</t>
        </is>
      </c>
    </row>
    <row r="2">
      <c r="A2" s="2" t="inlineStr">
        <is>
          <t>Portfolio exercise based on ISO 22301 and ISO/IEC 27001:2022 (A.5.29, A.5.30). Public facts only; all internal details are invented. Not an official university document.</t>
        </is>
      </c>
    </row>
    <row r="4">
      <c r="A4" s="5" t="inlineStr">
        <is>
          <t>ID</t>
        </is>
      </c>
      <c r="B4" s="5" t="inlineStr">
        <is>
          <t>Action</t>
        </is>
      </c>
      <c r="C4" s="5" t="inlineStr">
        <is>
          <t>Gap it closes</t>
        </is>
      </c>
      <c r="D4" s="5" t="inlineStr">
        <is>
          <t>Owner (role)</t>
        </is>
      </c>
      <c r="E4" s="5" t="inlineStr">
        <is>
          <t>Due</t>
        </is>
      </c>
      <c r="F4" s="5" t="inlineStr">
        <is>
          <t>Linked risks</t>
        </is>
      </c>
      <c r="G4" s="5" t="inlineStr">
        <is>
          <t>Status</t>
        </is>
      </c>
    </row>
    <row r="5">
      <c r="A5" s="6" t="inlineStr">
        <is>
          <t>BIA-A1</t>
        </is>
      </c>
      <c r="B5" s="4" t="inlineStr">
        <is>
          <t>Replicate the exam database to a second site with transaction logs every 15 minutes</t>
        </is>
      </c>
      <c r="C5" s="4" t="inlineStr">
        <is>
          <t>RPO 24 h -&gt; 1 h</t>
        </is>
      </c>
      <c r="D5" s="4" t="inlineStr">
        <is>
          <t>Head of University IT Centre (HIZ)</t>
        </is>
      </c>
      <c r="E5" s="6" t="inlineStr">
        <is>
          <t>30 Apr 2027</t>
        </is>
      </c>
      <c r="F5" s="6" t="inlineStr">
        <is>
          <t>R01, R12</t>
        </is>
      </c>
      <c r="G5" s="13" t="inlineStr">
        <is>
          <t>Proposed</t>
        </is>
      </c>
    </row>
    <row r="6">
      <c r="A6" s="6" t="inlineStr">
        <is>
          <t>BIA-A2</t>
        </is>
      </c>
      <c r="B6" s="4" t="inlineStr">
        <is>
          <t>Keep a warm standby LSF server at the second site; test switchover each term</t>
        </is>
      </c>
      <c r="C6" s="4" t="inlineStr">
        <is>
          <t>RTO 72 h -&gt; 24 h</t>
        </is>
      </c>
      <c r="D6" s="4" t="inlineStr">
        <is>
          <t>Head of University IT Centre (HIZ)</t>
        </is>
      </c>
      <c r="E6" s="6" t="inlineStr">
        <is>
          <t>30 Jun 2027</t>
        </is>
      </c>
      <c r="F6" s="6" t="inlineStr">
        <is>
          <t>R07, R12</t>
        </is>
      </c>
      <c r="G6" s="13" t="inlineStr">
        <is>
          <t>Proposed</t>
        </is>
      </c>
    </row>
    <row r="7">
      <c r="A7" s="6" t="inlineStr">
        <is>
          <t>BIA-A3</t>
        </is>
      </c>
      <c r="B7" s="4" t="inlineStr">
        <is>
          <t>Write and test an LSF restore runbook with a named deputy</t>
        </is>
      </c>
      <c r="C7" s="4" t="inlineStr">
        <is>
          <t>Key-person dependency</t>
        </is>
      </c>
      <c r="D7" s="4" t="inlineStr">
        <is>
          <t>Head of University IT Centre (HIZ)</t>
        </is>
      </c>
      <c r="E7" s="6" t="inlineStr">
        <is>
          <t>31 Mar 2027</t>
        </is>
      </c>
      <c r="F7" s="6" t="inlineStr">
        <is>
          <t>R17</t>
        </is>
      </c>
      <c r="G7" s="13" t="inlineStr">
        <is>
          <t>Proposed</t>
        </is>
      </c>
    </row>
    <row r="8">
      <c r="A8" s="6" t="inlineStr">
        <is>
          <t>BIA-A4</t>
        </is>
      </c>
      <c r="B8" s="4" t="inlineStr">
        <is>
          <t>Agree a standard deadline extension rule with all exam board chairs in advance</t>
        </is>
      </c>
      <c r="C8" s="4" t="inlineStr">
        <is>
          <t>Legal impact at peak</t>
        </is>
      </c>
      <c r="D8" s="4" t="inlineStr">
        <is>
          <t>Vice President for Teaching</t>
        </is>
      </c>
      <c r="E8" s="6" t="inlineStr">
        <is>
          <t>28 Feb 2027</t>
        </is>
      </c>
      <c r="F8" s="6" t="inlineStr">
        <is>
          <t>R07</t>
        </is>
      </c>
      <c r="G8" s="13" t="inlineStr">
        <is>
          <t>Proposed</t>
        </is>
      </c>
    </row>
    <row r="9">
      <c r="A9" s="6" t="inlineStr">
        <is>
          <t>BIA-A5</t>
        </is>
      </c>
      <c r="B9" s="4" t="inlineStr">
        <is>
          <t>Prepare paper registration forms and an import template for each faculty exam office</t>
        </is>
      </c>
      <c r="C9" s="4" t="inlineStr">
        <is>
          <t>Manual workaround</t>
        </is>
      </c>
      <c r="D9" s="4" t="inlineStr">
        <is>
          <t>Head of Student Services</t>
        </is>
      </c>
      <c r="E9" s="6" t="inlineStr">
        <is>
          <t>28 Feb 2027</t>
        </is>
      </c>
      <c r="F9" s="6" t="inlineStr">
        <is>
          <t>R07</t>
        </is>
      </c>
      <c r="G9" s="13" t="inlineStr">
        <is>
          <t>Proposed</t>
        </is>
      </c>
    </row>
    <row r="10">
      <c r="A10" s="6" t="inlineStr">
        <is>
          <t>BIA-A6</t>
        </is>
      </c>
      <c r="B10" s="4" t="inlineStr">
        <is>
          <t>Upgrade vendor support to 4-hour response during registration and grading weeks</t>
        </is>
      </c>
      <c r="C10" s="4" t="inlineStr">
        <is>
          <t>Supplier recovery time</t>
        </is>
      </c>
      <c r="D10" s="4" t="inlineStr">
        <is>
          <t>Head of University IT Centre (HIZ)</t>
        </is>
      </c>
      <c r="E10" s="6" t="inlineStr">
        <is>
          <t>31 Dec 2026</t>
        </is>
      </c>
      <c r="F10" s="6" t="inlineStr">
        <is>
          <t>R05, R07</t>
        </is>
      </c>
      <c r="G10" s="13" t="inlineStr">
        <is>
          <t>Proposed</t>
        </is>
      </c>
    </row>
    <row r="11">
      <c r="A11" s="6" t="inlineStr">
        <is>
          <t>BIA-A7</t>
        </is>
      </c>
      <c r="B11" s="4" t="inlineStr">
        <is>
          <t>Run the tabletop exercise in this folder before the WiSe 2026/27 registration window</t>
        </is>
      </c>
      <c r="C11" s="4" t="inlineStr">
        <is>
          <t>Untested plan</t>
        </is>
      </c>
      <c r="D11" s="4" t="inlineStr">
        <is>
          <t>Head of Student Services</t>
        </is>
      </c>
      <c r="E11" s="6" t="inlineStr">
        <is>
          <t>15 Dec 2026</t>
        </is>
      </c>
      <c r="F11" s="6" t="inlineStr">
        <is>
          <t>R07</t>
        </is>
      </c>
      <c r="G11" s="13" t="inlineStr">
        <is>
          <t>Proposed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0" customWidth="1" min="3" max="3"/>
    <col width="34" customWidth="1" min="4" max="4"/>
    <col width="36" customWidth="1" min="5" max="5"/>
    <col width="40" customWidth="1" min="6" max="6"/>
  </cols>
  <sheetData>
    <row r="1">
      <c r="A1" s="1" t="inlineStr">
        <is>
          <t>Impact scale used in this BIA (aligned with the register's 1 to 5 scale)</t>
        </is>
      </c>
    </row>
    <row r="2">
      <c r="A2" s="2" t="inlineStr">
        <is>
          <t>Portfolio exercise based on ISO 22301 and ISO/IEC 27001:2022 (A.5.29, A.5.30). Public facts only; all internal details are invented. Not an official university document.</t>
        </is>
      </c>
    </row>
    <row r="4">
      <c r="A4" s="5" t="inlineStr">
        <is>
          <t>Category</t>
        </is>
      </c>
      <c r="B4" s="5" t="inlineStr">
        <is>
          <t>1 Negligible</t>
        </is>
      </c>
      <c r="C4" s="5" t="inlineStr">
        <is>
          <t>2 Minor</t>
        </is>
      </c>
      <c r="D4" s="5" t="inlineStr">
        <is>
          <t>3 Moderate</t>
        </is>
      </c>
      <c r="E4" s="5" t="inlineStr">
        <is>
          <t>4 Major</t>
        </is>
      </c>
      <c r="F4" s="5" t="inlineStr">
        <is>
          <t>5 Severe</t>
        </is>
      </c>
    </row>
    <row r="5">
      <c r="A5" s="3" t="inlineStr">
        <is>
          <t>Students &amp; teaching</t>
        </is>
      </c>
      <c r="B5" s="4" t="inlineStr">
        <is>
          <t>No noticeable effect</t>
        </is>
      </c>
      <c r="C5" s="4" t="inlineStr">
        <is>
          <t>Some students delayed by hours; workaround via exam office</t>
        </is>
      </c>
      <c r="D5" s="4" t="inlineStr">
        <is>
          <t>Many students miss a registration or see no grades for a few days</t>
        </is>
      </c>
      <c r="E5" s="4" t="inlineStr">
        <is>
          <t>Students in several faculties cannot sit planned exams or miss deadlines</t>
        </is>
      </c>
      <c r="F5" s="4" t="inlineStr">
        <is>
          <t>Exams for a whole term must be postponed; progression, BAfoeG or visa status of students affected</t>
        </is>
      </c>
    </row>
    <row r="6">
      <c r="A6" s="3" t="inlineStr">
        <is>
          <t>Legal &amp; regulatory</t>
        </is>
      </c>
      <c r="B6" s="4" t="inlineStr">
        <is>
          <t>None</t>
        </is>
      </c>
      <c r="C6" s="4" t="inlineStr">
        <is>
          <t>Minor deviation from internal procedure</t>
        </is>
      </c>
      <c r="D6" s="4" t="inlineStr">
        <is>
          <t>Deadlines in exam regulations must be extended by one exam board</t>
        </is>
      </c>
      <c r="E6" s="4" t="inlineStr">
        <is>
          <t>Several exam boards must change deadlines; appeals expected; possible GDPR breach</t>
        </is>
      </c>
      <c r="F6" s="4" t="inlineStr">
        <is>
          <t>Exam results legally contestable; reportable GDPR breach (Art. 33) with lost records</t>
        </is>
      </c>
    </row>
    <row r="7">
      <c r="A7" s="3" t="inlineStr">
        <is>
          <t>Reputation</t>
        </is>
      </c>
      <c r="B7" s="4" t="inlineStr">
        <is>
          <t>None</t>
        </is>
      </c>
      <c r="C7" s="4" t="inlineStr">
        <is>
          <t>Complaints to the service desk</t>
        </is>
      </c>
      <c r="D7" s="4" t="inlineStr">
        <is>
          <t>Student council and social media criticism</t>
        </is>
      </c>
      <c r="E7" s="4" t="inlineStr">
        <is>
          <t>Regional press coverage</t>
        </is>
      </c>
      <c r="F7" s="4" t="inlineStr">
        <is>
          <t>National press; ministry asks for a report</t>
        </is>
      </c>
    </row>
    <row r="8">
      <c r="A8" s="3" t="inlineStr">
        <is>
          <t>Operations &amp; workload</t>
        </is>
      </c>
      <c r="B8" s="4" t="inlineStr">
        <is>
          <t>Normal workload</t>
        </is>
      </c>
      <c r="C8" s="4" t="inlineStr">
        <is>
          <t>Exam offices absorb extra calls</t>
        </is>
      </c>
      <c r="D8" s="4" t="inlineStr">
        <is>
          <t>Overtime in exam offices; manual lists needed</t>
        </is>
      </c>
      <c r="E8" s="4" t="inlineStr">
        <is>
          <t>Manual registration across faculties; backlog of several days</t>
        </is>
      </c>
      <c r="F8" s="4" t="inlineStr">
        <is>
          <t>Backlog of weeks; staff from other units must help</t>
        </is>
      </c>
    </row>
    <row r="9">
      <c r="A9" s="3" t="inlineStr">
        <is>
          <t>Financial</t>
        </is>
      </c>
      <c r="B9" s="4" t="inlineStr">
        <is>
          <t>Under EUR 5k</t>
        </is>
      </c>
      <c r="C9" s="4" t="inlineStr">
        <is>
          <t>EUR 5k to 25k</t>
        </is>
      </c>
      <c r="D9" s="4" t="inlineStr">
        <is>
          <t>EUR 25k to 100k</t>
        </is>
      </c>
      <c r="E9" s="4" t="inlineStr">
        <is>
          <t>EUR 100k to 500k</t>
        </is>
      </c>
      <c r="F9" s="4" t="inlineStr">
        <is>
          <t>Over EUR 500k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60" customWidth="1" min="2" max="2"/>
    <col width="80" customWidth="1" min="3" max="3"/>
  </cols>
  <sheetData>
    <row r="1">
      <c r="A1" s="1" t="inlineStr">
        <is>
          <t>Sources (checked 8 October 2026)</t>
        </is>
      </c>
    </row>
    <row r="2">
      <c r="A2" s="2" t="inlineStr">
        <is>
          <t>Portfolio exercise based on ISO 22301 and ISO/IEC 27001:2022 (A.5.29, A.5.30). Public facts only; all internal details are invented. Not an official university document.</t>
        </is>
      </c>
    </row>
    <row r="4">
      <c r="A4" s="5" t="inlineStr">
        <is>
          <t>Source</t>
        </is>
      </c>
      <c r="B4" s="5" t="inlineStr">
        <is>
          <t>Link</t>
        </is>
      </c>
      <c r="C4" s="5" t="inlineStr">
        <is>
          <t>What it supports</t>
        </is>
      </c>
    </row>
    <row r="5">
      <c r="A5" s="4" t="inlineStr">
        <is>
          <t>Saarland University: Fragen und Antworten A bis Z (ZPL)</t>
        </is>
      </c>
      <c r="B5" s="16" t="inlineStr">
        <is>
          <t>https://www.uni-saarland.de/en/einrichtung/zpl/studienorganisation/abisz.html</t>
        </is>
      </c>
      <c r="C5" s="4" t="inlineStr">
        <is>
          <t>Exam registration and results run in LSF; deadlines shown per exam; late registration not possible where registration is mandatory.</t>
        </is>
      </c>
    </row>
    <row r="6">
      <c r="A6" s="4" t="inlineStr">
        <is>
          <t>Saarland University, Systems Engineering: Prüfungsanmeldung und -termine</t>
        </is>
      </c>
      <c r="B6" s="16" t="inlineStr">
        <is>
          <t>https://www.uni-saarland.de/fachrichtung/systems-engineering/studium/pruefungsanmeldung-und-termine.html</t>
        </is>
      </c>
      <c r="C6" s="4" t="inlineStr">
        <is>
          <t>Online registration with university account and iTAN; results in the HIS-Portal; if online registration fails, register in writing at the exam office within the deadline.</t>
        </is>
      </c>
    </row>
    <row r="7">
      <c r="A7" s="4" t="inlineStr">
        <is>
          <t>Saarland University: Semestertermine Studienjahr 2026/2027 (PDF)</t>
        </is>
      </c>
      <c r="B7" s="16" t="inlineStr">
        <is>
          <t>https://www.uni-saarland.de/fileadmin/upload/dezernat/ls/semestertermine/Studienjahr2026-2027.pdf</t>
        </is>
      </c>
      <c r="C7" s="4" t="inlineStr">
        <is>
          <t>WiSe 2026/27 lecture period 12 Oct 2026 to 5 Feb 2027; SoSe 2027 lecture period 5 Apr to 16 Jul 2027.</t>
        </is>
      </c>
    </row>
    <row r="8">
      <c r="A8" s="4" t="inlineStr">
        <is>
          <t>ISO 22301:2019 Business continuity management systems</t>
        </is>
      </c>
      <c r="B8" s="16" t="inlineStr">
        <is>
          <t>https://www.iso.org/standard/75106.html</t>
        </is>
      </c>
      <c r="C8" s="4" t="inlineStr">
        <is>
          <t>BIA, MTPD, RTO and RPO terms (clause 8.2.2). Paid standard, no copy included.</t>
        </is>
      </c>
    </row>
    <row r="9">
      <c r="A9" s="4" t="inlineStr">
        <is>
          <t>BSI-Standard 200-4 Business Continuity Management</t>
        </is>
      </c>
      <c r="B9" s="16" t="inlineStr">
        <is>
          <t>https://www.bsi.bund.de/DE/Themen/Unternehmen-und-Organisationen/Standards-und-Zertifizierung/IT-Grundschutz/BSI-Standards/BSI-Standard-200-4-Business-Continuity-Management/bsi-standard-200-4_Business_Continuity_Management_node.html</t>
        </is>
      </c>
      <c r="C9" s="4" t="inlineStr">
        <is>
          <t>German BCM method incl. BIA; used as background for the approach.</t>
        </is>
      </c>
    </row>
    <row r="10">
      <c r="A10" s="4" t="inlineStr">
        <is>
          <t>ISO/IEC 27001:2022 Annex A</t>
        </is>
      </c>
      <c r="B10" s="16" t="inlineStr">
        <is>
          <t>https://www.iso.org/standard/27001</t>
        </is>
      </c>
      <c r="C10" s="4" t="inlineStr">
        <is>
          <t>A.5.29 Information security during disruption; A.5.30 ICT readiness for business continuity.</t>
        </is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2026-10-08T17:35:08Z</dcterms:created>
  <dcterms:modified xmlns:dcterms="http://purl.org/dc/terms/" xmlns:xsi="http://www.w3.org/2001/XMLSchema-instance" xsi:type="dcterms:W3CDTF">2026-10-08T17:35:08Z</dcterms:modified>
</cp:coreProperties>
</file>