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oA" sheetId="2" state="visible" r:id="rId2"/>
    <sheet xmlns:r="http://schemas.openxmlformats.org/officeDocument/2006/relationships" name="Summary" sheetId="3" state="visible" r:id="rId3"/>
    <sheet xmlns:r="http://schemas.openxmlformats.org/officeDocument/2006/relationships" name="Lists" sheetId="4" state="visible" r:id="rId4"/>
    <sheet xmlns:r="http://schemas.openxmlformats.org/officeDocument/2006/relationships" name="Sources" sheetId="5" state="visible" r:id="rId5"/>
  </sheets>
  <definedNames>
    <definedName name="_xlnm._FilterDatabase" localSheetId="1" hidden="1">'SoA'!$A$4:$N$97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14"/>
    </font>
    <font>
      <name val="Arial"/>
      <b val="1"/>
      <color rgb="00C00000"/>
    </font>
    <font>
      <name val="Arial"/>
      <b val="1"/>
    </font>
    <font>
      <name val="Arial"/>
    </font>
    <font>
      <name val="Arial"/>
      <i val="1"/>
      <color rgb="00595959"/>
    </font>
    <font>
      <name val="Arial"/>
      <i val="1"/>
      <color rgb="00C00000"/>
    </font>
    <font>
      <name val="Arial"/>
      <b val="1"/>
      <color rgb="00FFFFFF"/>
    </font>
    <font>
      <name val="Arial"/>
      <i val="1"/>
    </font>
    <font>
      <name val="Arial"/>
      <color rgb="000563C1"/>
      <u val="single"/>
    </font>
  </fonts>
  <fills count="9">
    <fill>
      <patternFill/>
    </fill>
    <fill>
      <patternFill patternType="gray125"/>
    </fill>
    <fill>
      <patternFill patternType="solid">
        <fgColor rgb="001F3864"/>
      </patternFill>
    </fill>
    <fill>
      <patternFill patternType="solid">
        <fgColor rgb="00595959"/>
      </patternFill>
    </fill>
    <fill>
      <patternFill patternType="solid">
        <fgColor rgb="00FFF2CC"/>
      </patternFill>
    </fill>
    <fill>
      <patternFill patternType="solid">
        <fgColor rgb="00C6EFCE"/>
      </patternFill>
    </fill>
    <fill>
      <patternFill patternType="solid">
        <fgColor rgb="00FFE699"/>
      </patternFill>
    </fill>
    <fill>
      <patternFill patternType="solid">
        <fgColor rgb="00F4B183"/>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1"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4" fillId="4" borderId="1" applyAlignment="1" pivotButton="0" quotePrefix="0" xfId="0">
      <alignment horizontal="center" vertical="top" wrapText="1"/>
    </xf>
    <xf numFmtId="0" fontId="4" fillId="4" borderId="1" applyAlignment="1" pivotButton="0" quotePrefix="0" xfId="0">
      <alignment vertical="top" wrapText="1"/>
    </xf>
    <xf numFmtId="0" fontId="4" fillId="0" borderId="1" applyAlignment="1" pivotButton="0" quotePrefix="0" xfId="0">
      <alignment horizontal="center" vertical="top" wrapText="1"/>
    </xf>
    <xf numFmtId="0" fontId="8" fillId="0" borderId="0" pivotButton="0" quotePrefix="0" xfId="0"/>
    <xf numFmtId="0" fontId="4" fillId="0" borderId="1" pivotButton="0" quotePrefix="0" xfId="0"/>
    <xf numFmtId="0" fontId="3" fillId="0" borderId="1" applyAlignment="1" pivotButton="0" quotePrefix="0" xfId="0">
      <alignment horizontal="center"/>
    </xf>
    <xf numFmtId="9" fontId="3" fillId="0" borderId="1" applyAlignment="1" pivotButton="0" quotePrefix="0" xfId="0">
      <alignment horizontal="center"/>
    </xf>
    <xf numFmtId="0" fontId="3" fillId="0" borderId="0" pivotButton="0" quotePrefix="0" xfId="0"/>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0" borderId="1" pivotButton="0" quotePrefix="0" xfId="0"/>
    <xf numFmtId="0" fontId="4" fillId="0" borderId="1" applyAlignment="1" pivotButton="0" quotePrefix="0" xfId="0">
      <alignment horizontal="center"/>
    </xf>
    <xf numFmtId="0" fontId="4" fillId="0" borderId="0" pivotButton="0" quotePrefix="0" xfId="0"/>
    <xf numFmtId="0" fontId="7" fillId="2" borderId="1" pivotButton="0" quotePrefix="0" xfId="0"/>
    <xf numFmtId="0" fontId="4" fillId="0" borderId="1" applyAlignment="1" pivotButton="0" quotePrefix="0" xfId="0">
      <alignment vertical="top" wrapText="1"/>
    </xf>
    <xf numFmtId="0" fontId="9" fillId="0" borderId="1" applyAlignment="1" pivotButton="0" quotePrefix="0" xfId="0">
      <alignment vertical="top" wrapText="1"/>
    </xf>
  </cellXfs>
  <cellStyles count="1">
    <cellStyle name="Normal" xfId="0" builtinId="0" hidden="0"/>
  </cellStyles>
  <dxfs count="6">
    <dxf>
      <font>
        <name val="Arial"/>
        <b val="1"/>
      </font>
      <fill>
        <patternFill patternType="solid">
          <fgColor rgb="00C6EFCE"/>
        </patternFill>
      </fill>
    </dxf>
    <dxf>
      <font>
        <name val="Arial"/>
        <b val="1"/>
      </font>
      <fill>
        <patternFill patternType="solid">
          <fgColor rgb="00FFE699"/>
        </patternFill>
      </fill>
    </dxf>
    <dxf>
      <font>
        <name val="Arial"/>
        <b val="1"/>
      </font>
      <fill>
        <patternFill patternType="solid">
          <fgColor rgb="00F4B183"/>
        </patternFill>
      </fill>
    </dxf>
    <dxf>
      <font>
        <name val="Arial"/>
        <b val="1"/>
      </font>
      <fill>
        <patternFill patternType="solid">
          <fgColor rgb="00F8CBAD"/>
        </patternFill>
      </fill>
    </dxf>
    <dxf>
      <font>
        <name val="Arial"/>
        <b val="1"/>
      </font>
      <fill>
        <patternFill patternType="solid">
          <fgColor rgb="00D9D9D9"/>
        </patternFill>
      </fill>
    </dxf>
    <dxf>
      <font>
        <name val="Arial"/>
        <b val="1"/>
        <color rgb="00C0000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www.iso.org/standard/27001" TargetMode="External" Id="rId1"/><Relationship Type="http://schemas.openxmlformats.org/officeDocument/2006/relationships/hyperlink" Target="https://www.iso.org/standard/75652.html" TargetMode="External" Id="rId2"/><Relationship Type="http://schemas.openxmlformats.org/officeDocument/2006/relationships/hyperlink" Target="https://eur-lex.europa.eu/eli/reg/2016/679/oj" TargetMode="External" Id="rId3"/><Relationship Type="http://schemas.openxmlformats.org/officeDocument/2006/relationships/hyperlink" Target="https://www.gesetze-im-internet.de/gg/art_5.html" TargetMode="External" Id="rId4"/></Relationships>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10" customWidth="1" min="1" max="1"/>
  </cols>
  <sheetData>
    <row r="1">
      <c r="A1" s="1" t="inlineStr">
        <is>
          <t>Statement of Applicability: Saarland University</t>
        </is>
      </c>
    </row>
    <row r="2">
      <c r="A2" s="2" t="inlineStr">
        <is>
          <t>PORTFOLIO EXERCISE. Not an official document of Saarland University.</t>
        </is>
      </c>
    </row>
    <row r="3">
      <c r="A3" s="3" t="inlineStr"/>
    </row>
    <row r="4">
      <c r="A4" s="4" t="inlineStr">
        <is>
          <t>Purpose</t>
        </is>
      </c>
    </row>
    <row r="5">
      <c r="A5" s="5" t="inlineStr">
        <is>
          <t>Statement of Applicability (SoA) as required by ISO/IEC 27001:2022 clause 6.1.3 d). It lists all 93 controls of Annex A, says whether each is applicable, why it is included or excluded, and how far it is implemented.</t>
        </is>
      </c>
    </row>
    <row r="6">
      <c r="A6" s="5" t="inlineStr">
        <is>
          <t>Control titles are short paraphrases, not the wording of the standard. The full text is in ISO/IEC 27001:2022 and the guidance in ISO/IEC 27002:2022 (paid, not included).</t>
        </is>
      </c>
    </row>
    <row r="7">
      <c r="A7" s="5" t="inlineStr">
        <is>
          <t>All statuses, owners, justifications and documents are invented for illustration and do not describe the university's real security posture.</t>
        </is>
      </c>
    </row>
    <row r="8">
      <c r="A8" s="3" t="inlineStr"/>
    </row>
    <row r="9">
      <c r="A9" s="4" t="inlineStr">
        <is>
          <t>Scope (assumed)</t>
        </is>
      </c>
    </row>
    <row r="10">
      <c r="A10" s="5" t="inlineStr">
        <is>
          <t>Information and IT services of the central university administration and of the University IT Centre (HIZ) at the Saarbrücken and Homburg campuses, including services offered to faculties and institutes. Systems run by institutes themselves are in scope where they connect to the campus network.</t>
        </is>
      </c>
    </row>
    <row r="11">
      <c r="A11" s="3" t="inlineStr"/>
    </row>
    <row r="12">
      <c r="A12" s="4" t="inlineStr">
        <is>
          <t>Sheets</t>
        </is>
      </c>
    </row>
    <row r="13">
      <c r="A13" s="5" t="inlineStr">
        <is>
          <t>SoA: one row per Annex A control with applicability, reasons for inclusion, justification, implementation status, owner, evidence and the risks it treats.</t>
        </is>
      </c>
    </row>
    <row r="14">
      <c r="A14" s="5" t="inlineStr">
        <is>
          <t>Related risks are read from the risk register (column L of its Risk Register sheet) when the workbook is built: 39 controls treat at least one of its risks.</t>
        </is>
      </c>
    </row>
    <row r="15">
      <c r="A15" s="5" t="inlineStr">
        <is>
          <t>Summary: counts by theme and status, calculated with formulas.</t>
        </is>
      </c>
    </row>
    <row r="16">
      <c r="A16" s="5" t="inlineStr">
        <is>
          <t>Lists: values for the drop-down menus.</t>
        </is>
      </c>
    </row>
    <row r="17">
      <c r="A17" s="5" t="inlineStr">
        <is>
          <t>Sources: standards and other references used.</t>
        </is>
      </c>
    </row>
    <row r="18">
      <c r="A18" s="3" t="inlineStr"/>
    </row>
    <row r="19">
      <c r="A19" s="4" t="inlineStr">
        <is>
          <t>Reasons for inclusion</t>
        </is>
      </c>
    </row>
    <row r="20">
      <c r="A20" s="5" t="inlineStr">
        <is>
          <t>R = Risk treatment</t>
        </is>
      </c>
    </row>
    <row r="21">
      <c r="A21" s="5" t="inlineStr">
        <is>
          <t>L = Legal / regulatory</t>
        </is>
      </c>
    </row>
    <row r="22">
      <c r="A22" s="5" t="inlineStr">
        <is>
          <t>C = Contractual</t>
        </is>
      </c>
    </row>
    <row r="23">
      <c r="A23" s="5" t="inlineStr">
        <is>
          <t>B = Baseline good practice</t>
        </is>
      </c>
    </row>
    <row r="24">
      <c r="A24" s="3" t="inlineStr"/>
    </row>
    <row r="25">
      <c r="A25" s="4" t="inlineStr">
        <is>
          <t>How to edit</t>
        </is>
      </c>
    </row>
    <row r="26">
      <c r="A26" s="5" t="inlineStr">
        <is>
          <t>Light yellow cells are inputs. Applicable, Status and the reason flags use drop-downs. An excluded control must say why in the justification; its status should be Not applicable.</t>
        </is>
      </c>
    </row>
    <row r="27">
      <c r="A27" s="3" t="inlineStr"/>
    </row>
    <row r="28">
      <c r="A28" s="6" t="inlineStr">
        <is>
          <t>Version 0.1, prepared 08 October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15" customWidth="1" min="3" max="3"/>
    <col width="11" customWidth="1" min="4" max="4"/>
    <col width="9" customWidth="1" min="5" max="5"/>
    <col width="10" customWidth="1" min="6" max="6"/>
    <col width="10" customWidth="1" min="7" max="7"/>
    <col width="9" customWidth="1" min="8" max="8"/>
    <col width="55" customWidth="1" min="9" max="9"/>
    <col width="15" customWidth="1" min="10" max="10"/>
    <col width="28" customWidth="1" min="11" max="11"/>
    <col width="30" customWidth="1" min="12" max="12"/>
    <col width="16" customWidth="1" min="13" max="13"/>
    <col width="10" customWidth="1" min="14" max="14"/>
  </cols>
  <sheetData>
    <row r="1">
      <c r="A1" s="7" t="inlineStr">
        <is>
          <t>Statement of Applicability: ISO/IEC 27001:2022 Annex A</t>
        </is>
      </c>
    </row>
    <row r="2">
      <c r="A2" s="8" t="inlineStr">
        <is>
          <t>Portfolio exercise for Saarland University. Paraphrased control titles; all statuses and details are invented. Not an official university document.</t>
        </is>
      </c>
    </row>
    <row r="4" ht="45" customHeight="1">
      <c r="A4" s="9" t="inlineStr">
        <is>
          <t>Control</t>
        </is>
      </c>
      <c r="B4" s="9" t="inlineStr">
        <is>
          <t>Control (paraphrased title)</t>
        </is>
      </c>
      <c r="C4" s="9" t="inlineStr">
        <is>
          <t>Theme</t>
        </is>
      </c>
      <c r="D4" s="9" t="inlineStr">
        <is>
          <t>Applicable</t>
        </is>
      </c>
      <c r="E4" s="9" t="inlineStr">
        <is>
          <t>R: Risk treatment</t>
        </is>
      </c>
      <c r="F4" s="9" t="inlineStr">
        <is>
          <t>L: Legal / regulatory</t>
        </is>
      </c>
      <c r="G4" s="9" t="inlineStr">
        <is>
          <t>C: Contractual</t>
        </is>
      </c>
      <c r="H4" s="9" t="inlineStr">
        <is>
          <t>B: Baseline</t>
        </is>
      </c>
      <c r="I4" s="9" t="inlineStr">
        <is>
          <t>Justification for inclusion or exclusion</t>
        </is>
      </c>
      <c r="J4" s="9" t="inlineStr">
        <is>
          <t>Implementation status</t>
        </is>
      </c>
      <c r="K4" s="9" t="inlineStr">
        <is>
          <t>Control owner (role)</t>
        </is>
      </c>
      <c r="L4" s="9" t="inlineStr">
        <is>
          <t>Evidence / reference document</t>
        </is>
      </c>
      <c r="M4" s="9" t="inlineStr">
        <is>
          <t>Related risks (from register)</t>
        </is>
      </c>
      <c r="N4" s="10" t="inlineStr">
        <is>
          <t>Number of related risks</t>
        </is>
      </c>
    </row>
    <row r="5">
      <c r="A5" s="11" t="inlineStr">
        <is>
          <t>A.5.1</t>
        </is>
      </c>
      <c r="B5" s="12" t="inlineStr">
        <is>
          <t>Security policy set and reviewed</t>
        </is>
      </c>
      <c r="C5" s="11" t="inlineStr">
        <is>
          <t>Organisational</t>
        </is>
      </c>
      <c r="D5" s="11" t="inlineStr">
        <is>
          <t>Yes</t>
        </is>
      </c>
      <c r="E5" s="11" t="n"/>
      <c r="F5" s="11" t="inlineStr">
        <is>
          <t>X</t>
        </is>
      </c>
      <c r="G5" s="11" t="n"/>
      <c r="H5" s="11" t="inlineStr">
        <is>
          <t>X</t>
        </is>
      </c>
      <c r="I5" s="12" t="inlineStr">
        <is>
          <t>Top-level policy is the basis of the ISMS; required to show management direction.</t>
        </is>
      </c>
      <c r="J5" s="11" t="inlineStr">
        <is>
          <t>Implemented</t>
        </is>
      </c>
      <c r="K5" s="12" t="inlineStr">
        <is>
          <t>University Executive Board</t>
        </is>
      </c>
      <c r="L5" s="12" t="inlineStr">
        <is>
          <t>Information Security Policy</t>
        </is>
      </c>
      <c r="M5" s="11" t="n"/>
      <c r="N5" s="13">
        <f>IF(M5="",0,LEN(M5)-LEN(SUBSTITUTE(M5,",",""))+1)</f>
        <v/>
      </c>
    </row>
    <row r="6">
      <c r="A6" s="11" t="inlineStr">
        <is>
          <t>A.5.2</t>
        </is>
      </c>
      <c r="B6" s="12" t="inlineStr">
        <is>
          <t>Security roles and duties</t>
        </is>
      </c>
      <c r="C6" s="11" t="inlineStr">
        <is>
          <t>Organisational</t>
        </is>
      </c>
      <c r="D6" s="11" t="inlineStr">
        <is>
          <t>Yes</t>
        </is>
      </c>
      <c r="E6" s="11" t="inlineStr">
        <is>
          <t>X</t>
        </is>
      </c>
      <c r="F6" s="11" t="n"/>
      <c r="G6" s="11" t="n"/>
      <c r="H6" s="11" t="inlineStr">
        <is>
          <t>X</t>
        </is>
      </c>
      <c r="I6" s="12" t="inlineStr">
        <is>
          <t>Responsibilities are split between HIZ, faculties and institutes; roles must be written down.</t>
        </is>
      </c>
      <c r="J6" s="11" t="inlineStr">
        <is>
          <t>Partially implemented</t>
        </is>
      </c>
      <c r="K6" s="12" t="inlineStr">
        <is>
          <t>University Executive Board</t>
        </is>
      </c>
      <c r="L6" s="12" t="inlineStr">
        <is>
          <t>ISMS Roles Charter</t>
        </is>
      </c>
      <c r="M6" s="11" t="inlineStr">
        <is>
          <t>R17</t>
        </is>
      </c>
      <c r="N6" s="13">
        <f>IF(M6="",0,LEN(M6)-LEN(SUBSTITUTE(M6,",",""))+1)</f>
        <v/>
      </c>
    </row>
    <row r="7">
      <c r="A7" s="11" t="inlineStr">
        <is>
          <t>A.5.3</t>
        </is>
      </c>
      <c r="B7" s="12" t="inlineStr">
        <is>
          <t>Separating conflicting duties</t>
        </is>
      </c>
      <c r="C7" s="11" t="inlineStr">
        <is>
          <t>Organisational</t>
        </is>
      </c>
      <c r="D7" s="11" t="inlineStr">
        <is>
          <t>Yes</t>
        </is>
      </c>
      <c r="E7" s="11" t="n"/>
      <c r="F7" s="11" t="n"/>
      <c r="G7" s="11" t="n"/>
      <c r="H7" s="11" t="inlineStr">
        <is>
          <t>X</t>
        </is>
      </c>
      <c r="I7" s="12" t="inlineStr">
        <is>
          <t>Small admin teams often request and approve their own changes.</t>
        </is>
      </c>
      <c r="J7" s="11" t="inlineStr">
        <is>
          <t>Partially implemented</t>
        </is>
      </c>
      <c r="K7" s="12" t="inlineStr">
        <is>
          <t>Head of University IT Centre (HIZ)</t>
        </is>
      </c>
      <c r="L7" s="12" t="inlineStr">
        <is>
          <t>Access Control Guideline</t>
        </is>
      </c>
      <c r="M7" s="11" t="n"/>
      <c r="N7" s="13">
        <f>IF(M7="",0,LEN(M7)-LEN(SUBSTITUTE(M7,",",""))+1)</f>
        <v/>
      </c>
    </row>
    <row r="8">
      <c r="A8" s="11" t="inlineStr">
        <is>
          <t>A.5.4</t>
        </is>
      </c>
      <c r="B8" s="12" t="inlineStr">
        <is>
          <t>Management duties for security</t>
        </is>
      </c>
      <c r="C8" s="11" t="inlineStr">
        <is>
          <t>Organisational</t>
        </is>
      </c>
      <c r="D8" s="11" t="inlineStr">
        <is>
          <t>Yes</t>
        </is>
      </c>
      <c r="E8" s="11" t="n"/>
      <c r="F8" s="11" t="n"/>
      <c r="G8" s="11" t="n"/>
      <c r="H8" s="11" t="inlineStr">
        <is>
          <t>X</t>
        </is>
      </c>
      <c r="I8" s="12" t="inlineStr">
        <is>
          <t>Deans and heads of department must enforce the policy in their units.</t>
        </is>
      </c>
      <c r="J8" s="11" t="inlineStr">
        <is>
          <t>Implemented</t>
        </is>
      </c>
      <c r="K8" s="12" t="inlineStr">
        <is>
          <t>University Executive Board</t>
        </is>
      </c>
      <c r="L8" s="12" t="inlineStr">
        <is>
          <t>Information Security Policy</t>
        </is>
      </c>
      <c r="M8" s="11" t="n"/>
      <c r="N8" s="13">
        <f>IF(M8="",0,LEN(M8)-LEN(SUBSTITUTE(M8,",",""))+1)</f>
        <v/>
      </c>
    </row>
    <row r="9">
      <c r="A9" s="11" t="inlineStr">
        <is>
          <t>A.5.5</t>
        </is>
      </c>
      <c r="B9" s="12" t="inlineStr">
        <is>
          <t>Contact with public authorities</t>
        </is>
      </c>
      <c r="C9" s="11" t="inlineStr">
        <is>
          <t>Organisational</t>
        </is>
      </c>
      <c r="D9" s="11" t="inlineStr">
        <is>
          <t>Yes</t>
        </is>
      </c>
      <c r="E9" s="11" t="n"/>
      <c r="F9" s="11" t="inlineStr">
        <is>
          <t>X</t>
        </is>
      </c>
      <c r="G9" s="11" t="n"/>
      <c r="H9" s="11" t="n"/>
      <c r="I9" s="12" t="inlineStr">
        <is>
          <t>Breach reports to the data protection supervisor and contact with police and BSI after attacks.</t>
        </is>
      </c>
      <c r="J9" s="11" t="inlineStr">
        <is>
          <t>Implemented</t>
        </is>
      </c>
      <c r="K9" s="12" t="inlineStr">
        <is>
          <t>Chief Information Security Officer (CISO)</t>
        </is>
      </c>
      <c r="L9" s="12" t="inlineStr">
        <is>
          <t>Incident Response Plan</t>
        </is>
      </c>
      <c r="M9" s="11" t="n"/>
      <c r="N9" s="13">
        <f>IF(M9="",0,LEN(M9)-LEN(SUBSTITUTE(M9,",",""))+1)</f>
        <v/>
      </c>
    </row>
    <row r="10">
      <c r="A10" s="11" t="inlineStr">
        <is>
          <t>A.5.6</t>
        </is>
      </c>
      <c r="B10" s="12" t="inlineStr">
        <is>
          <t>Contact with specialist groups</t>
        </is>
      </c>
      <c r="C10" s="11" t="inlineStr">
        <is>
          <t>Organisational</t>
        </is>
      </c>
      <c r="D10" s="11" t="inlineStr">
        <is>
          <t>Yes</t>
        </is>
      </c>
      <c r="E10" s="11" t="n"/>
      <c r="F10" s="11" t="n"/>
      <c r="G10" s="11" t="n"/>
      <c r="H10" s="11" t="inlineStr">
        <is>
          <t>X</t>
        </is>
      </c>
      <c r="I10" s="12" t="inlineStr">
        <is>
          <t>Exchange with the university CERT community and research network security teams.</t>
        </is>
      </c>
      <c r="J10" s="11" t="inlineStr">
        <is>
          <t>Implemented</t>
        </is>
      </c>
      <c r="K10" s="12" t="inlineStr">
        <is>
          <t>Chief Information Security Officer (CISO)</t>
        </is>
      </c>
      <c r="L10" s="12" t="inlineStr">
        <is>
          <t>ISMS Roles Charter</t>
        </is>
      </c>
      <c r="M10" s="11" t="n"/>
      <c r="N10" s="13">
        <f>IF(M10="",0,LEN(M10)-LEN(SUBSTITUTE(M10,",",""))+1)</f>
        <v/>
      </c>
    </row>
    <row r="11">
      <c r="A11" s="11" t="inlineStr">
        <is>
          <t>A.5.7</t>
        </is>
      </c>
      <c r="B11" s="12" t="inlineStr">
        <is>
          <t>Threat intelligence gathering</t>
        </is>
      </c>
      <c r="C11" s="11" t="inlineStr">
        <is>
          <t>Organisational</t>
        </is>
      </c>
      <c r="D11" s="11" t="inlineStr">
        <is>
          <t>Yes</t>
        </is>
      </c>
      <c r="E11" s="11" t="inlineStr">
        <is>
          <t>X</t>
        </is>
      </c>
      <c r="F11" s="11" t="n"/>
      <c r="G11" s="11" t="n"/>
      <c r="H11" s="11" t="n"/>
      <c r="I11" s="12" t="inlineStr">
        <is>
          <t>Universities are targets for ransomware and research espionage; warnings are not collected systematically.</t>
        </is>
      </c>
      <c r="J11" s="11" t="inlineStr">
        <is>
          <t>Not implemented</t>
        </is>
      </c>
      <c r="K11" s="12" t="inlineStr">
        <is>
          <t>Chief Information Security Officer (CISO)</t>
        </is>
      </c>
      <c r="L11" s="12" t="inlineStr">
        <is>
          <t>Planned: Threat Intelligence Procedure</t>
        </is>
      </c>
      <c r="M11" s="11" t="inlineStr">
        <is>
          <t>R11</t>
        </is>
      </c>
      <c r="N11" s="13">
        <f>IF(M11="",0,LEN(M11)-LEN(SUBSTITUTE(M11,",",""))+1)</f>
        <v/>
      </c>
    </row>
    <row r="12">
      <c r="A12" s="11" t="inlineStr">
        <is>
          <t>A.5.8</t>
        </is>
      </c>
      <c r="B12" s="12" t="inlineStr">
        <is>
          <t>Security in project management</t>
        </is>
      </c>
      <c r="C12" s="11" t="inlineStr">
        <is>
          <t>Organisational</t>
        </is>
      </c>
      <c r="D12" s="11" t="inlineStr">
        <is>
          <t>Yes</t>
        </is>
      </c>
      <c r="E12" s="11" t="n"/>
      <c r="F12" s="11" t="n"/>
      <c r="G12" s="11" t="n"/>
      <c r="H12" s="11" t="inlineStr">
        <is>
          <t>X</t>
        </is>
      </c>
      <c r="I12" s="12" t="inlineStr">
        <is>
          <t>IT and research projects start without a security check today.</t>
        </is>
      </c>
      <c r="J12" s="11" t="inlineStr">
        <is>
          <t>Partially implemented</t>
        </is>
      </c>
      <c r="K12" s="12" t="inlineStr">
        <is>
          <t>Chief Information Security Officer (CISO)</t>
        </is>
      </c>
      <c r="L12" s="12" t="inlineStr">
        <is>
          <t>Project Management Guideline</t>
        </is>
      </c>
      <c r="M12" s="11" t="n"/>
      <c r="N12" s="13">
        <f>IF(M12="",0,LEN(M12)-LEN(SUBSTITUTE(M12,",",""))+1)</f>
        <v/>
      </c>
    </row>
    <row r="13">
      <c r="A13" s="11" t="inlineStr">
        <is>
          <t>A.5.9</t>
        </is>
      </c>
      <c r="B13" s="12" t="inlineStr">
        <is>
          <t>Asset inventory</t>
        </is>
      </c>
      <c r="C13" s="11" t="inlineStr">
        <is>
          <t>Organisational</t>
        </is>
      </c>
      <c r="D13" s="11" t="inlineStr">
        <is>
          <t>Yes</t>
        </is>
      </c>
      <c r="E13" s="11" t="inlineStr">
        <is>
          <t>X</t>
        </is>
      </c>
      <c r="F13" s="11" t="n"/>
      <c r="G13" s="11" t="n"/>
      <c r="H13" s="11" t="n"/>
      <c r="I13" s="12" t="inlineStr">
        <is>
          <t>Central systems are listed; institute servers are not.</t>
        </is>
      </c>
      <c r="J13" s="11" t="inlineStr">
        <is>
          <t>Partially implemented</t>
        </is>
      </c>
      <c r="K13" s="12" t="inlineStr">
        <is>
          <t>Head of University IT Centre (HIZ)</t>
        </is>
      </c>
      <c r="L13" s="12" t="inlineStr">
        <is>
          <t>Configuration Management Database</t>
        </is>
      </c>
      <c r="M13" s="11" t="inlineStr">
        <is>
          <t>R06</t>
        </is>
      </c>
      <c r="N13" s="13">
        <f>IF(M13="",0,LEN(M13)-LEN(SUBSTITUTE(M13,",",""))+1)</f>
        <v/>
      </c>
    </row>
    <row r="14">
      <c r="A14" s="11" t="inlineStr">
        <is>
          <t>A.5.10</t>
        </is>
      </c>
      <c r="B14" s="12" t="inlineStr">
        <is>
          <t>Rules for acceptable use of assets</t>
        </is>
      </c>
      <c r="C14" s="11" t="inlineStr">
        <is>
          <t>Organisational</t>
        </is>
      </c>
      <c r="D14" s="11" t="inlineStr">
        <is>
          <t>Yes</t>
        </is>
      </c>
      <c r="E14" s="11" t="inlineStr">
        <is>
          <t>X</t>
        </is>
      </c>
      <c r="F14" s="11" t="n"/>
      <c r="G14" s="11" t="n"/>
      <c r="H14" s="11" t="inlineStr">
        <is>
          <t>X</t>
        </is>
      </c>
      <c r="I14" s="12" t="inlineStr">
        <is>
          <t>IT usage regulations exist but do not cover public AI tools.</t>
        </is>
      </c>
      <c r="J14" s="11" t="inlineStr">
        <is>
          <t>Partially implemented</t>
        </is>
      </c>
      <c r="K14" s="12" t="inlineStr">
        <is>
          <t>Chief Information Security Officer (CISO)</t>
        </is>
      </c>
      <c r="L14" s="12" t="inlineStr">
        <is>
          <t>IT Usage Regulations</t>
        </is>
      </c>
      <c r="M14" s="11" t="inlineStr">
        <is>
          <t>R18</t>
        </is>
      </c>
      <c r="N14" s="13">
        <f>IF(M14="",0,LEN(M14)-LEN(SUBSTITUTE(M14,",",""))+1)</f>
        <v/>
      </c>
    </row>
    <row r="15">
      <c r="A15" s="11" t="inlineStr">
        <is>
          <t>A.5.11</t>
        </is>
      </c>
      <c r="B15" s="12" t="inlineStr">
        <is>
          <t>Returning assets on leaving</t>
        </is>
      </c>
      <c r="C15" s="11" t="inlineStr">
        <is>
          <t>Organisational</t>
        </is>
      </c>
      <c r="D15" s="11" t="inlineStr">
        <is>
          <t>Yes</t>
        </is>
      </c>
      <c r="E15" s="11" t="n"/>
      <c r="F15" s="11" t="n"/>
      <c r="G15" s="11" t="n"/>
      <c r="H15" s="11" t="inlineStr">
        <is>
          <t>X</t>
        </is>
      </c>
      <c r="I15" s="12" t="inlineStr">
        <is>
          <t>Keys and laptops are returned on request only; guest researchers are often missed.</t>
        </is>
      </c>
      <c r="J15" s="11" t="inlineStr">
        <is>
          <t>Partially implemented</t>
        </is>
      </c>
      <c r="K15" s="12" t="inlineStr">
        <is>
          <t>Director of Human Resources</t>
        </is>
      </c>
      <c r="L15" s="12" t="inlineStr">
        <is>
          <t>HR Security Procedure</t>
        </is>
      </c>
      <c r="M15" s="11" t="n"/>
      <c r="N15" s="13">
        <f>IF(M15="",0,LEN(M15)-LEN(SUBSTITUTE(M15,",",""))+1)</f>
        <v/>
      </c>
    </row>
    <row r="16">
      <c r="A16" s="11" t="inlineStr">
        <is>
          <t>A.5.12</t>
        </is>
      </c>
      <c r="B16" s="12" t="inlineStr">
        <is>
          <t>Information classification</t>
        </is>
      </c>
      <c r="C16" s="11" t="inlineStr">
        <is>
          <t>Organisational</t>
        </is>
      </c>
      <c r="D16" s="11" t="inlineStr">
        <is>
          <t>Yes</t>
        </is>
      </c>
      <c r="E16" s="11" t="inlineStr">
        <is>
          <t>X</t>
        </is>
      </c>
      <c r="F16" s="11" t="inlineStr">
        <is>
          <t>X</t>
        </is>
      </c>
      <c r="G16" s="11" t="n"/>
      <c r="H16" s="11" t="n"/>
      <c r="I16" s="12" t="inlineStr">
        <is>
          <t>Research, health and exam data need different protection; no scheme exists yet.</t>
        </is>
      </c>
      <c r="J16" s="11" t="inlineStr">
        <is>
          <t>Planned</t>
        </is>
      </c>
      <c r="K16" s="12" t="inlineStr">
        <is>
          <t>Vice President for Research</t>
        </is>
      </c>
      <c r="L16" s="12" t="inlineStr">
        <is>
          <t>Planned: Classification Guideline</t>
        </is>
      </c>
      <c r="M16" s="11" t="inlineStr">
        <is>
          <t>R03, R11</t>
        </is>
      </c>
      <c r="N16" s="13">
        <f>IF(M16="",0,LEN(M16)-LEN(SUBSTITUTE(M16,",",""))+1)</f>
        <v/>
      </c>
    </row>
    <row r="17">
      <c r="A17" s="11" t="inlineStr">
        <is>
          <t>A.5.13</t>
        </is>
      </c>
      <c r="B17" s="12" t="inlineStr">
        <is>
          <t>Labelling information</t>
        </is>
      </c>
      <c r="C17" s="11" t="inlineStr">
        <is>
          <t>Organisational</t>
        </is>
      </c>
      <c r="D17" s="11" t="inlineStr">
        <is>
          <t>Yes</t>
        </is>
      </c>
      <c r="E17" s="11" t="n"/>
      <c r="F17" s="11" t="n"/>
      <c r="G17" s="11" t="n"/>
      <c r="H17" s="11" t="inlineStr">
        <is>
          <t>X</t>
        </is>
      </c>
      <c r="I17" s="12" t="inlineStr">
        <is>
          <t>Follows the classification scheme so staff can see how to handle a document.</t>
        </is>
      </c>
      <c r="J17" s="11" t="inlineStr">
        <is>
          <t>Planned</t>
        </is>
      </c>
      <c r="K17" s="12" t="inlineStr">
        <is>
          <t>Vice President for Research</t>
        </is>
      </c>
      <c r="L17" s="12" t="inlineStr">
        <is>
          <t>Planned: Classification Guideline</t>
        </is>
      </c>
      <c r="M17" s="11" t="n"/>
      <c r="N17" s="13">
        <f>IF(M17="",0,LEN(M17)-LEN(SUBSTITUTE(M17,",",""))+1)</f>
        <v/>
      </c>
    </row>
    <row r="18">
      <c r="A18" s="11" t="inlineStr">
        <is>
          <t>A.5.14</t>
        </is>
      </c>
      <c r="B18" s="12" t="inlineStr">
        <is>
          <t>Transferring information</t>
        </is>
      </c>
      <c r="C18" s="11" t="inlineStr">
        <is>
          <t>Organisational</t>
        </is>
      </c>
      <c r="D18" s="11" t="inlineStr">
        <is>
          <t>Yes</t>
        </is>
      </c>
      <c r="E18" s="11" t="inlineStr">
        <is>
          <t>X</t>
        </is>
      </c>
      <c r="F18" s="11" t="inlineStr">
        <is>
          <t>X</t>
        </is>
      </c>
      <c r="G18" s="11" t="n"/>
      <c r="H18" s="11" t="n"/>
      <c r="I18" s="12" t="inlineStr">
        <is>
          <t>Personal data is shared by email, cloud links and with external partners.</t>
        </is>
      </c>
      <c r="J18" s="11" t="inlineStr">
        <is>
          <t>Partially implemented</t>
        </is>
      </c>
      <c r="K18" s="12" t="inlineStr">
        <is>
          <t>Data Protection Officer</t>
        </is>
      </c>
      <c r="L18" s="12" t="inlineStr">
        <is>
          <t>Data Transfer Guideline</t>
        </is>
      </c>
      <c r="M18" s="11" t="inlineStr">
        <is>
          <t>R10, R18</t>
        </is>
      </c>
      <c r="N18" s="13">
        <f>IF(M18="",0,LEN(M18)-LEN(SUBSTITUTE(M18,",",""))+1)</f>
        <v/>
      </c>
    </row>
    <row r="19">
      <c r="A19" s="11" t="inlineStr">
        <is>
          <t>A.5.15</t>
        </is>
      </c>
      <c r="B19" s="12" t="inlineStr">
        <is>
          <t>Access control rules</t>
        </is>
      </c>
      <c r="C19" s="11" t="inlineStr">
        <is>
          <t>Organisational</t>
        </is>
      </c>
      <c r="D19" s="11" t="inlineStr">
        <is>
          <t>Yes</t>
        </is>
      </c>
      <c r="E19" s="11" t="inlineStr">
        <is>
          <t>X</t>
        </is>
      </c>
      <c r="F19" s="11" t="inlineStr">
        <is>
          <t>X</t>
        </is>
      </c>
      <c r="G19" s="11" t="n"/>
      <c r="H19" s="11" t="n"/>
      <c r="I19" s="12" t="inlineStr">
        <is>
          <t>Need-to-know rules exist for central systems, not for shared drives.</t>
        </is>
      </c>
      <c r="J19" s="11" t="inlineStr">
        <is>
          <t>Partially implemented</t>
        </is>
      </c>
      <c r="K19" s="12" t="inlineStr">
        <is>
          <t>Head of University IT Centre (HIZ)</t>
        </is>
      </c>
      <c r="L19" s="12" t="inlineStr">
        <is>
          <t>Access Control Guideline</t>
        </is>
      </c>
      <c r="M19" s="11" t="inlineStr">
        <is>
          <t>R10</t>
        </is>
      </c>
      <c r="N19" s="13">
        <f>IF(M19="",0,LEN(M19)-LEN(SUBSTITUTE(M19,",",""))+1)</f>
        <v/>
      </c>
    </row>
    <row r="20">
      <c r="A20" s="11" t="inlineStr">
        <is>
          <t>A.5.16</t>
        </is>
      </c>
      <c r="B20" s="12" t="inlineStr">
        <is>
          <t>Managing identities</t>
        </is>
      </c>
      <c r="C20" s="11" t="inlineStr">
        <is>
          <t>Organisational</t>
        </is>
      </c>
      <c r="D20" s="11" t="inlineStr">
        <is>
          <t>Yes</t>
        </is>
      </c>
      <c r="E20" s="11" t="inlineStr">
        <is>
          <t>X</t>
        </is>
      </c>
      <c r="F20" s="11" t="n"/>
      <c r="G20" s="11" t="n"/>
      <c r="H20" s="11" t="n"/>
      <c r="I20" s="12" t="inlineStr">
        <is>
          <t>One identity per person across staff, students and guests is the base of all access.</t>
        </is>
      </c>
      <c r="J20" s="11" t="inlineStr">
        <is>
          <t>Partially implemented</t>
        </is>
      </c>
      <c r="K20" s="12" t="inlineStr">
        <is>
          <t>Head of University IT Centre (HIZ)</t>
        </is>
      </c>
      <c r="L20" s="12" t="inlineStr">
        <is>
          <t>Identity Management Concept</t>
        </is>
      </c>
      <c r="M20" s="11" t="inlineStr">
        <is>
          <t>R09</t>
        </is>
      </c>
      <c r="N20" s="13">
        <f>IF(M20="",0,LEN(M20)-LEN(SUBSTITUTE(M20,",",""))+1)</f>
        <v/>
      </c>
    </row>
    <row r="21">
      <c r="A21" s="11" t="inlineStr">
        <is>
          <t>A.5.17</t>
        </is>
      </c>
      <c r="B21" s="12" t="inlineStr">
        <is>
          <t>Handling authentication secrets</t>
        </is>
      </c>
      <c r="C21" s="11" t="inlineStr">
        <is>
          <t>Organisational</t>
        </is>
      </c>
      <c r="D21" s="11" t="inlineStr">
        <is>
          <t>Yes</t>
        </is>
      </c>
      <c r="E21" s="11" t="inlineStr">
        <is>
          <t>X</t>
        </is>
      </c>
      <c r="F21" s="11" t="n"/>
      <c r="G21" s="11" t="n"/>
      <c r="H21" s="11" t="inlineStr">
        <is>
          <t>X</t>
        </is>
      </c>
      <c r="I21" s="12" t="inlineStr">
        <is>
          <t>Password rules and secure reset via the service desk are in place.</t>
        </is>
      </c>
      <c r="J21" s="11" t="inlineStr">
        <is>
          <t>Implemented</t>
        </is>
      </c>
      <c r="K21" s="12" t="inlineStr">
        <is>
          <t>Head of University IT Centre (HIZ)</t>
        </is>
      </c>
      <c r="L21" s="12" t="inlineStr">
        <is>
          <t>Password Guideline</t>
        </is>
      </c>
      <c r="M21" s="11" t="inlineStr">
        <is>
          <t>R02</t>
        </is>
      </c>
      <c r="N21" s="13">
        <f>IF(M21="",0,LEN(M21)-LEN(SUBSTITUTE(M21,",",""))+1)</f>
        <v/>
      </c>
    </row>
    <row r="22">
      <c r="A22" s="11" t="inlineStr">
        <is>
          <t>A.5.18</t>
        </is>
      </c>
      <c r="B22" s="12" t="inlineStr">
        <is>
          <t>Granting and reviewing access rights</t>
        </is>
      </c>
      <c r="C22" s="11" t="inlineStr">
        <is>
          <t>Organisational</t>
        </is>
      </c>
      <c r="D22" s="11" t="inlineStr">
        <is>
          <t>Yes</t>
        </is>
      </c>
      <c r="E22" s="11" t="inlineStr">
        <is>
          <t>X</t>
        </is>
      </c>
      <c r="F22" s="11" t="n"/>
      <c r="G22" s="11" t="n"/>
      <c r="H22" s="11" t="n"/>
      <c r="I22" s="12" t="inlineStr">
        <is>
          <t>Rights are granted on request but rarely reviewed or removed.</t>
        </is>
      </c>
      <c r="J22" s="11" t="inlineStr">
        <is>
          <t>Partially implemented</t>
        </is>
      </c>
      <c r="K22" s="12" t="inlineStr">
        <is>
          <t>Head of University IT Centre (HIZ)</t>
        </is>
      </c>
      <c r="L22" s="12" t="inlineStr">
        <is>
          <t>Access Control Guideline</t>
        </is>
      </c>
      <c r="M22" s="11" t="inlineStr">
        <is>
          <t>R08, R09</t>
        </is>
      </c>
      <c r="N22" s="13">
        <f>IF(M22="",0,LEN(M22)-LEN(SUBSTITUTE(M22,",",""))+1)</f>
        <v/>
      </c>
    </row>
    <row r="23">
      <c r="A23" s="11" t="inlineStr">
        <is>
          <t>A.5.19</t>
        </is>
      </c>
      <c r="B23" s="12" t="inlineStr">
        <is>
          <t>Security with suppliers</t>
        </is>
      </c>
      <c r="C23" s="11" t="inlineStr">
        <is>
          <t>Organisational</t>
        </is>
      </c>
      <c r="D23" s="11" t="inlineStr">
        <is>
          <t>Yes</t>
        </is>
      </c>
      <c r="E23" s="11" t="inlineStr">
        <is>
          <t>X</t>
        </is>
      </c>
      <c r="F23" s="11" t="n"/>
      <c r="G23" s="11" t="inlineStr">
        <is>
          <t>X</t>
        </is>
      </c>
      <c r="H23" s="11" t="n"/>
      <c r="I23" s="12" t="inlineStr">
        <is>
          <t>Core services (network, cloud, campus management) depend on external suppliers.</t>
        </is>
      </c>
      <c r="J23" s="11" t="inlineStr">
        <is>
          <t>Planned</t>
        </is>
      </c>
      <c r="K23" s="12" t="inlineStr">
        <is>
          <t>Head of Procurement</t>
        </is>
      </c>
      <c r="L23" s="12" t="inlineStr">
        <is>
          <t>Planned: Supplier Security Guideline</t>
        </is>
      </c>
      <c r="M23" s="11" t="inlineStr">
        <is>
          <t>R05</t>
        </is>
      </c>
      <c r="N23" s="13">
        <f>IF(M23="",0,LEN(M23)-LEN(SUBSTITUTE(M23,",",""))+1)</f>
        <v/>
      </c>
    </row>
    <row r="24">
      <c r="A24" s="11" t="inlineStr">
        <is>
          <t>A.5.20</t>
        </is>
      </c>
      <c r="B24" s="12" t="inlineStr">
        <is>
          <t>Security terms in supplier contracts</t>
        </is>
      </c>
      <c r="C24" s="11" t="inlineStr">
        <is>
          <t>Organisational</t>
        </is>
      </c>
      <c r="D24" s="11" t="inlineStr">
        <is>
          <t>Yes</t>
        </is>
      </c>
      <c r="E24" s="11" t="n"/>
      <c r="F24" s="11" t="inlineStr">
        <is>
          <t>X</t>
        </is>
      </c>
      <c r="G24" s="11" t="inlineStr">
        <is>
          <t>X</t>
        </is>
      </c>
      <c r="H24" s="11" t="n"/>
      <c r="I24" s="12" t="inlineStr">
        <is>
          <t>Data processing agreements are signed; security clauses are not standard yet.</t>
        </is>
      </c>
      <c r="J24" s="11" t="inlineStr">
        <is>
          <t>Partially implemented</t>
        </is>
      </c>
      <c r="K24" s="12" t="inlineStr">
        <is>
          <t>Head of Procurement</t>
        </is>
      </c>
      <c r="L24" s="12" t="inlineStr">
        <is>
          <t>Contract templates</t>
        </is>
      </c>
      <c r="M24" s="11" t="n"/>
      <c r="N24" s="13">
        <f>IF(M24="",0,LEN(M24)-LEN(SUBSTITUTE(M24,",",""))+1)</f>
        <v/>
      </c>
    </row>
    <row r="25">
      <c r="A25" s="11" t="inlineStr">
        <is>
          <t>A.5.21</t>
        </is>
      </c>
      <c r="B25" s="12" t="inlineStr">
        <is>
          <t>ICT supply chain security</t>
        </is>
      </c>
      <c r="C25" s="11" t="inlineStr">
        <is>
          <t>Organisational</t>
        </is>
      </c>
      <c r="D25" s="11" t="inlineStr">
        <is>
          <t>Yes</t>
        </is>
      </c>
      <c r="E25" s="11" t="inlineStr">
        <is>
          <t>X</t>
        </is>
      </c>
      <c r="F25" s="11" t="n"/>
      <c r="G25" s="11" t="n"/>
      <c r="H25" s="11" t="n"/>
      <c r="I25" s="12" t="inlineStr">
        <is>
          <t>Single network uplink and cloud services create supply chain exposure.</t>
        </is>
      </c>
      <c r="J25" s="11" t="inlineStr">
        <is>
          <t>Not implemented</t>
        </is>
      </c>
      <c r="K25" s="12" t="inlineStr">
        <is>
          <t>Head of University IT Centre (HIZ)</t>
        </is>
      </c>
      <c r="L25" s="12" t="inlineStr">
        <is>
          <t>Planned: Supplier Security Guideline</t>
        </is>
      </c>
      <c r="M25" s="11" t="inlineStr">
        <is>
          <t>R05</t>
        </is>
      </c>
      <c r="N25" s="13">
        <f>IF(M25="",0,LEN(M25)-LEN(SUBSTITUTE(M25,",",""))+1)</f>
        <v/>
      </c>
    </row>
    <row r="26">
      <c r="A26" s="11" t="inlineStr">
        <is>
          <t>A.5.22</t>
        </is>
      </c>
      <c r="B26" s="12" t="inlineStr">
        <is>
          <t>Monitoring supplier services and changes</t>
        </is>
      </c>
      <c r="C26" s="11" t="inlineStr">
        <is>
          <t>Organisational</t>
        </is>
      </c>
      <c r="D26" s="11" t="inlineStr">
        <is>
          <t>Yes</t>
        </is>
      </c>
      <c r="E26" s="11" t="n"/>
      <c r="F26" s="11" t="n"/>
      <c r="G26" s="11" t="inlineStr">
        <is>
          <t>X</t>
        </is>
      </c>
      <c r="H26" s="11" t="n"/>
      <c r="I26" s="12" t="inlineStr">
        <is>
          <t>Supplier performance and security changes are not reviewed.</t>
        </is>
      </c>
      <c r="J26" s="11" t="inlineStr">
        <is>
          <t>Not implemented</t>
        </is>
      </c>
      <c r="K26" s="12" t="inlineStr">
        <is>
          <t>Head of Procurement</t>
        </is>
      </c>
      <c r="L26" s="12" t="inlineStr">
        <is>
          <t>Planned: Supplier Security Guideline</t>
        </is>
      </c>
      <c r="M26" s="11" t="n"/>
      <c r="N26" s="13">
        <f>IF(M26="",0,LEN(M26)-LEN(SUBSTITUTE(M26,",",""))+1)</f>
        <v/>
      </c>
    </row>
    <row r="27">
      <c r="A27" s="11" t="inlineStr">
        <is>
          <t>A.5.23</t>
        </is>
      </c>
      <c r="B27" s="12" t="inlineStr">
        <is>
          <t>Security for cloud services</t>
        </is>
      </c>
      <c r="C27" s="11" t="inlineStr">
        <is>
          <t>Organisational</t>
        </is>
      </c>
      <c r="D27" s="11" t="inlineStr">
        <is>
          <t>Yes</t>
        </is>
      </c>
      <c r="E27" s="11" t="n"/>
      <c r="F27" s="11" t="inlineStr">
        <is>
          <t>X</t>
        </is>
      </c>
      <c r="G27" s="11" t="n"/>
      <c r="H27" s="11" t="n"/>
      <c r="I27" s="12" t="inlineStr">
        <is>
          <t>Collaboration and teaching tools run in the cloud; selection rules exist, exit plans do not.</t>
        </is>
      </c>
      <c r="J27" s="11" t="inlineStr">
        <is>
          <t>Partially implemented</t>
        </is>
      </c>
      <c r="K27" s="12" t="inlineStr">
        <is>
          <t>Head of University IT Centre (HIZ)</t>
        </is>
      </c>
      <c r="L27" s="12" t="inlineStr">
        <is>
          <t>Cloud Usage Guideline</t>
        </is>
      </c>
      <c r="M27" s="11" t="n"/>
      <c r="N27" s="13">
        <f>IF(M27="",0,LEN(M27)-LEN(SUBSTITUTE(M27,",",""))+1)</f>
        <v/>
      </c>
    </row>
    <row r="28">
      <c r="A28" s="11" t="inlineStr">
        <is>
          <t>A.5.24</t>
        </is>
      </c>
      <c r="B28" s="12" t="inlineStr">
        <is>
          <t>Planning for incident management</t>
        </is>
      </c>
      <c r="C28" s="11" t="inlineStr">
        <is>
          <t>Organisational</t>
        </is>
      </c>
      <c r="D28" s="11" t="inlineStr">
        <is>
          <t>Yes</t>
        </is>
      </c>
      <c r="E28" s="11" t="inlineStr">
        <is>
          <t>X</t>
        </is>
      </c>
      <c r="F28" s="11" t="inlineStr">
        <is>
          <t>X</t>
        </is>
      </c>
      <c r="G28" s="11" t="n"/>
      <c r="H28" s="11" t="n"/>
      <c r="I28" s="12" t="inlineStr">
        <is>
          <t>A response process exists on paper but has not been exercised.</t>
        </is>
      </c>
      <c r="J28" s="11" t="inlineStr">
        <is>
          <t>Partially implemented</t>
        </is>
      </c>
      <c r="K28" s="12" t="inlineStr">
        <is>
          <t>Chief Information Security Officer (CISO)</t>
        </is>
      </c>
      <c r="L28" s="12" t="inlineStr">
        <is>
          <t>Incident Response Plan</t>
        </is>
      </c>
      <c r="M28" s="11" t="inlineStr">
        <is>
          <t>R15</t>
        </is>
      </c>
      <c r="N28" s="13">
        <f>IF(M28="",0,LEN(M28)-LEN(SUBSTITUTE(M28,",",""))+1)</f>
        <v/>
      </c>
    </row>
    <row r="29">
      <c r="A29" s="11" t="inlineStr">
        <is>
          <t>A.5.25</t>
        </is>
      </c>
      <c r="B29" s="12" t="inlineStr">
        <is>
          <t>Assessing security events</t>
        </is>
      </c>
      <c r="C29" s="11" t="inlineStr">
        <is>
          <t>Organisational</t>
        </is>
      </c>
      <c r="D29" s="11" t="inlineStr">
        <is>
          <t>Yes</t>
        </is>
      </c>
      <c r="E29" s="11" t="n"/>
      <c r="F29" s="11" t="n"/>
      <c r="G29" s="11" t="n"/>
      <c r="H29" s="11" t="inlineStr">
        <is>
          <t>X</t>
        </is>
      </c>
      <c r="I29" s="12" t="inlineStr">
        <is>
          <t>Service desk forwards suspicious events; triage criteria are informal.</t>
        </is>
      </c>
      <c r="J29" s="11" t="inlineStr">
        <is>
          <t>Partially implemented</t>
        </is>
      </c>
      <c r="K29" s="12" t="inlineStr">
        <is>
          <t>Chief Information Security Officer (CISO)</t>
        </is>
      </c>
      <c r="L29" s="12" t="inlineStr">
        <is>
          <t>Incident Response Plan</t>
        </is>
      </c>
      <c r="M29" s="11" t="n"/>
      <c r="N29" s="13">
        <f>IF(M29="",0,LEN(M29)-LEN(SUBSTITUTE(M29,",",""))+1)</f>
        <v/>
      </c>
    </row>
    <row r="30">
      <c r="A30" s="11" t="inlineStr">
        <is>
          <t>A.5.26</t>
        </is>
      </c>
      <c r="B30" s="12" t="inlineStr">
        <is>
          <t>Responding to incidents</t>
        </is>
      </c>
      <c r="C30" s="11" t="inlineStr">
        <is>
          <t>Organisational</t>
        </is>
      </c>
      <c r="D30" s="11" t="inlineStr">
        <is>
          <t>Yes</t>
        </is>
      </c>
      <c r="E30" s="11" t="inlineStr">
        <is>
          <t>X</t>
        </is>
      </c>
      <c r="F30" s="11" t="inlineStr">
        <is>
          <t>X</t>
        </is>
      </c>
      <c r="G30" s="11" t="n"/>
      <c r="H30" s="11" t="n"/>
      <c r="I30" s="12" t="inlineStr">
        <is>
          <t>Needed to contain attacks and meet the 72-hour GDPR breach reporting deadline.</t>
        </is>
      </c>
      <c r="J30" s="11" t="inlineStr">
        <is>
          <t>Partially implemented</t>
        </is>
      </c>
      <c r="K30" s="12" t="inlineStr">
        <is>
          <t>Chief Information Security Officer (CISO)</t>
        </is>
      </c>
      <c r="L30" s="12" t="inlineStr">
        <is>
          <t>Incident Response Plan</t>
        </is>
      </c>
      <c r="M30" s="11" t="inlineStr">
        <is>
          <t>R15</t>
        </is>
      </c>
      <c r="N30" s="13">
        <f>IF(M30="",0,LEN(M30)-LEN(SUBSTITUTE(M30,",",""))+1)</f>
        <v/>
      </c>
    </row>
    <row r="31">
      <c r="A31" s="11" t="inlineStr">
        <is>
          <t>A.5.27</t>
        </is>
      </c>
      <c r="B31" s="12" t="inlineStr">
        <is>
          <t>Learning from incidents</t>
        </is>
      </c>
      <c r="C31" s="11" t="inlineStr">
        <is>
          <t>Organisational</t>
        </is>
      </c>
      <c r="D31" s="11" t="inlineStr">
        <is>
          <t>Yes</t>
        </is>
      </c>
      <c r="E31" s="11" t="n"/>
      <c r="F31" s="11" t="n"/>
      <c r="G31" s="11" t="n"/>
      <c r="H31" s="11" t="inlineStr">
        <is>
          <t>X</t>
        </is>
      </c>
      <c r="I31" s="12" t="inlineStr">
        <is>
          <t>No lessons-learned review after incidents so far.</t>
        </is>
      </c>
      <c r="J31" s="11" t="inlineStr">
        <is>
          <t>Not implemented</t>
        </is>
      </c>
      <c r="K31" s="12" t="inlineStr">
        <is>
          <t>Chief Information Security Officer (CISO)</t>
        </is>
      </c>
      <c r="L31" s="12" t="inlineStr">
        <is>
          <t>Incident Response Plan</t>
        </is>
      </c>
      <c r="M31" s="11" t="n"/>
      <c r="N31" s="13">
        <f>IF(M31="",0,LEN(M31)-LEN(SUBSTITUTE(M31,",",""))+1)</f>
        <v/>
      </c>
    </row>
    <row r="32">
      <c r="A32" s="11" t="inlineStr">
        <is>
          <t>A.5.28</t>
        </is>
      </c>
      <c r="B32" s="12" t="inlineStr">
        <is>
          <t>Collecting evidence</t>
        </is>
      </c>
      <c r="C32" s="11" t="inlineStr">
        <is>
          <t>Organisational</t>
        </is>
      </c>
      <c r="D32" s="11" t="inlineStr">
        <is>
          <t>Yes</t>
        </is>
      </c>
      <c r="E32" s="11" t="n"/>
      <c r="F32" s="11" t="inlineStr">
        <is>
          <t>X</t>
        </is>
      </c>
      <c r="G32" s="11" t="n"/>
      <c r="H32" s="11" t="n"/>
      <c r="I32" s="12" t="inlineStr">
        <is>
          <t>Evidence may be needed for police, disciplinary or court cases.</t>
        </is>
      </c>
      <c r="J32" s="11" t="inlineStr">
        <is>
          <t>Not implemented</t>
        </is>
      </c>
      <c r="K32" s="12" t="inlineStr">
        <is>
          <t>Chief Information Security Officer (CISO)</t>
        </is>
      </c>
      <c r="L32" s="12" t="inlineStr">
        <is>
          <t>Planned: Forensics Procedure</t>
        </is>
      </c>
      <c r="M32" s="11" t="n"/>
      <c r="N32" s="13">
        <f>IF(M32="",0,LEN(M32)-LEN(SUBSTITUTE(M32,",",""))+1)</f>
        <v/>
      </c>
    </row>
    <row r="33">
      <c r="A33" s="11" t="inlineStr">
        <is>
          <t>A.5.29</t>
        </is>
      </c>
      <c r="B33" s="12" t="inlineStr">
        <is>
          <t>Security during disruption</t>
        </is>
      </c>
      <c r="C33" s="11" t="inlineStr">
        <is>
          <t>Organisational</t>
        </is>
      </c>
      <c r="D33" s="11" t="inlineStr">
        <is>
          <t>Yes</t>
        </is>
      </c>
      <c r="E33" s="11" t="inlineStr">
        <is>
          <t>X</t>
        </is>
      </c>
      <c r="F33" s="11" t="n"/>
      <c r="G33" s="11" t="n"/>
      <c r="H33" s="11" t="n"/>
      <c r="I33" s="12" t="inlineStr">
        <is>
          <t>Security must be kept up while systems are restored after a major attack.</t>
        </is>
      </c>
      <c r="J33" s="11" t="inlineStr">
        <is>
          <t>Planned</t>
        </is>
      </c>
      <c r="K33" s="12" t="inlineStr">
        <is>
          <t>Chief Information Security Officer (CISO)</t>
        </is>
      </c>
      <c r="L33" s="12" t="inlineStr">
        <is>
          <t>Business Continuity Plan</t>
        </is>
      </c>
      <c r="M33" s="11" t="inlineStr">
        <is>
          <t>R01</t>
        </is>
      </c>
      <c r="N33" s="13">
        <f>IF(M33="",0,LEN(M33)-LEN(SUBSTITUTE(M33,",",""))+1)</f>
        <v/>
      </c>
    </row>
    <row r="34">
      <c r="A34" s="11" t="inlineStr">
        <is>
          <t>A.5.30</t>
        </is>
      </c>
      <c r="B34" s="12" t="inlineStr">
        <is>
          <t>ICT readiness for continuity</t>
        </is>
      </c>
      <c r="C34" s="11" t="inlineStr">
        <is>
          <t>Organisational</t>
        </is>
      </c>
      <c r="D34" s="11" t="inlineStr">
        <is>
          <t>Yes</t>
        </is>
      </c>
      <c r="E34" s="11" t="inlineStr">
        <is>
          <t>X</t>
        </is>
      </c>
      <c r="F34" s="11" t="n"/>
      <c r="G34" s="11" t="n"/>
      <c r="H34" s="11" t="n"/>
      <c r="I34" s="12" t="inlineStr">
        <is>
          <t>Enrolment, exams and payroll depend on IT being restored in time.</t>
        </is>
      </c>
      <c r="J34" s="11" t="inlineStr">
        <is>
          <t>Planned</t>
        </is>
      </c>
      <c r="K34" s="12" t="inlineStr">
        <is>
          <t>Head of University IT Centre (HIZ)</t>
        </is>
      </c>
      <c r="L34" s="12" t="inlineStr">
        <is>
          <t>Business Continuity Plan</t>
        </is>
      </c>
      <c r="M34" s="11" t="inlineStr">
        <is>
          <t>R05, R07</t>
        </is>
      </c>
      <c r="N34" s="13">
        <f>IF(M34="",0,LEN(M34)-LEN(SUBSTITUTE(M34,",",""))+1)</f>
        <v/>
      </c>
    </row>
    <row r="35">
      <c r="A35" s="11" t="inlineStr">
        <is>
          <t>A.5.31</t>
        </is>
      </c>
      <c r="B35" s="12" t="inlineStr">
        <is>
          <t>Legal, regulatory and contract requirements</t>
        </is>
      </c>
      <c r="C35" s="11" t="inlineStr">
        <is>
          <t>Organisational</t>
        </is>
      </c>
      <c r="D35" s="11" t="inlineStr">
        <is>
          <t>Yes</t>
        </is>
      </c>
      <c r="E35" s="11" t="n"/>
      <c r="F35" s="11" t="inlineStr">
        <is>
          <t>X</t>
        </is>
      </c>
      <c r="G35" s="11" t="inlineStr">
        <is>
          <t>X</t>
        </is>
      </c>
      <c r="H35" s="11" t="n"/>
      <c r="I35" s="12" t="inlineStr">
        <is>
          <t>Data protection law, research funder terms and export rules apply.</t>
        </is>
      </c>
      <c r="J35" s="11" t="inlineStr">
        <is>
          <t>Partially implemented</t>
        </is>
      </c>
      <c r="K35" s="12" t="inlineStr">
        <is>
          <t>Head of Legal Affairs</t>
        </is>
      </c>
      <c r="L35" s="12" t="inlineStr">
        <is>
          <t>Register of legal requirements</t>
        </is>
      </c>
      <c r="M35" s="11" t="n"/>
      <c r="N35" s="13">
        <f>IF(M35="",0,LEN(M35)-LEN(SUBSTITUTE(M35,",",""))+1)</f>
        <v/>
      </c>
    </row>
    <row r="36">
      <c r="A36" s="11" t="inlineStr">
        <is>
          <t>A.5.32</t>
        </is>
      </c>
      <c r="B36" s="12" t="inlineStr">
        <is>
          <t>Intellectual property rights</t>
        </is>
      </c>
      <c r="C36" s="11" t="inlineStr">
        <is>
          <t>Organisational</t>
        </is>
      </c>
      <c r="D36" s="11" t="inlineStr">
        <is>
          <t>Yes</t>
        </is>
      </c>
      <c r="E36" s="11" t="n"/>
      <c r="F36" s="11" t="inlineStr">
        <is>
          <t>X</t>
        </is>
      </c>
      <c r="G36" s="11" t="inlineStr">
        <is>
          <t>X</t>
        </is>
      </c>
      <c r="H36" s="11" t="n"/>
      <c r="I36" s="12" t="inlineStr">
        <is>
          <t>Software licences and research results must be protected.</t>
        </is>
      </c>
      <c r="J36" s="11" t="inlineStr">
        <is>
          <t>Implemented</t>
        </is>
      </c>
      <c r="K36" s="12" t="inlineStr">
        <is>
          <t>Head of Legal Affairs</t>
        </is>
      </c>
      <c r="L36" s="12" t="inlineStr">
        <is>
          <t>Licence Management Procedure</t>
        </is>
      </c>
      <c r="M36" s="11" t="n"/>
      <c r="N36" s="13">
        <f>IF(M36="",0,LEN(M36)-LEN(SUBSTITUTE(M36,",",""))+1)</f>
        <v/>
      </c>
    </row>
    <row r="37">
      <c r="A37" s="11" t="inlineStr">
        <is>
          <t>A.5.33</t>
        </is>
      </c>
      <c r="B37" s="12" t="inlineStr">
        <is>
          <t>Protecting records</t>
        </is>
      </c>
      <c r="C37" s="11" t="inlineStr">
        <is>
          <t>Organisational</t>
        </is>
      </c>
      <c r="D37" s="11" t="inlineStr">
        <is>
          <t>Yes</t>
        </is>
      </c>
      <c r="E37" s="11" t="n"/>
      <c r="F37" s="11" t="inlineStr">
        <is>
          <t>X</t>
        </is>
      </c>
      <c r="G37" s="11" t="n"/>
      <c r="H37" s="11" t="n"/>
      <c r="I37" s="12" t="inlineStr">
        <is>
          <t>Student, exam and HR records have legal retention periods.</t>
        </is>
      </c>
      <c r="J37" s="11" t="inlineStr">
        <is>
          <t>Implemented</t>
        </is>
      </c>
      <c r="K37" s="12" t="inlineStr">
        <is>
          <t>Head of Legal Affairs</t>
        </is>
      </c>
      <c r="L37" s="12" t="inlineStr">
        <is>
          <t>Records Retention Schedule</t>
        </is>
      </c>
      <c r="M37" s="11" t="n"/>
      <c r="N37" s="13">
        <f>IF(M37="",0,LEN(M37)-LEN(SUBSTITUTE(M37,",",""))+1)</f>
        <v/>
      </c>
    </row>
    <row r="38">
      <c r="A38" s="11" t="inlineStr">
        <is>
          <t>A.5.34</t>
        </is>
      </c>
      <c r="B38" s="12" t="inlineStr">
        <is>
          <t>Privacy and personal data</t>
        </is>
      </c>
      <c r="C38" s="11" t="inlineStr">
        <is>
          <t>Organisational</t>
        </is>
      </c>
      <c r="D38" s="11" t="inlineStr">
        <is>
          <t>Yes</t>
        </is>
      </c>
      <c r="E38" s="11" t="inlineStr">
        <is>
          <t>X</t>
        </is>
      </c>
      <c r="F38" s="11" t="inlineStr">
        <is>
          <t>X</t>
        </is>
      </c>
      <c r="G38" s="11" t="n"/>
      <c r="H38" s="11" t="n"/>
      <c r="I38" s="12" t="inlineStr">
        <is>
          <t>Personal data of students, staff, applicants and study participants is processed.</t>
        </is>
      </c>
      <c r="J38" s="11" t="inlineStr">
        <is>
          <t>Partially implemented</t>
        </is>
      </c>
      <c r="K38" s="12" t="inlineStr">
        <is>
          <t>Data Protection Officer</t>
        </is>
      </c>
      <c r="L38" s="12" t="inlineStr">
        <is>
          <t>Records of Processing Activities</t>
        </is>
      </c>
      <c r="M38" s="11" t="inlineStr">
        <is>
          <t>R03, R10</t>
        </is>
      </c>
      <c r="N38" s="13">
        <f>IF(M38="",0,LEN(M38)-LEN(SUBSTITUTE(M38,",",""))+1)</f>
        <v/>
      </c>
    </row>
    <row r="39">
      <c r="A39" s="11" t="inlineStr">
        <is>
          <t>A.5.35</t>
        </is>
      </c>
      <c r="B39" s="12" t="inlineStr">
        <is>
          <t>Independent security review</t>
        </is>
      </c>
      <c r="C39" s="11" t="inlineStr">
        <is>
          <t>Organisational</t>
        </is>
      </c>
      <c r="D39" s="11" t="inlineStr">
        <is>
          <t>Yes</t>
        </is>
      </c>
      <c r="E39" s="11" t="n"/>
      <c r="F39" s="11" t="n"/>
      <c r="G39" s="11" t="n"/>
      <c r="H39" s="11" t="inlineStr">
        <is>
          <t>X</t>
        </is>
      </c>
      <c r="I39" s="12" t="inlineStr">
        <is>
          <t>Internal audit of the ISMS is planned once core controls are in place.</t>
        </is>
      </c>
      <c r="J39" s="11" t="inlineStr">
        <is>
          <t>Planned</t>
        </is>
      </c>
      <c r="K39" s="12" t="inlineStr">
        <is>
          <t>University Executive Board</t>
        </is>
      </c>
      <c r="L39" s="12" t="inlineStr">
        <is>
          <t>Planned: Internal Audit Programme</t>
        </is>
      </c>
      <c r="M39" s="11" t="n"/>
      <c r="N39" s="13">
        <f>IF(M39="",0,LEN(M39)-LEN(SUBSTITUTE(M39,",",""))+1)</f>
        <v/>
      </c>
    </row>
    <row r="40">
      <c r="A40" s="11" t="inlineStr">
        <is>
          <t>A.5.36</t>
        </is>
      </c>
      <c r="B40" s="12" t="inlineStr">
        <is>
          <t>Compliance with security policies and standards</t>
        </is>
      </c>
      <c r="C40" s="11" t="inlineStr">
        <is>
          <t>Organisational</t>
        </is>
      </c>
      <c r="D40" s="11" t="inlineStr">
        <is>
          <t>Yes</t>
        </is>
      </c>
      <c r="E40" s="11" t="n"/>
      <c r="F40" s="11" t="n"/>
      <c r="G40" s="11" t="n"/>
      <c r="H40" s="11" t="inlineStr">
        <is>
          <t>X</t>
        </is>
      </c>
      <c r="I40" s="12" t="inlineStr">
        <is>
          <t>Faculties and institutes are not checked against the policy.</t>
        </is>
      </c>
      <c r="J40" s="11" t="inlineStr">
        <is>
          <t>Not implemented</t>
        </is>
      </c>
      <c r="K40" s="12" t="inlineStr">
        <is>
          <t>Chief Information Security Officer (CISO)</t>
        </is>
      </c>
      <c r="L40" s="12" t="inlineStr">
        <is>
          <t>Planned: Internal Audit Programme</t>
        </is>
      </c>
      <c r="M40" s="11" t="n"/>
      <c r="N40" s="13">
        <f>IF(M40="",0,LEN(M40)-LEN(SUBSTITUTE(M40,",",""))+1)</f>
        <v/>
      </c>
    </row>
    <row r="41">
      <c r="A41" s="11" t="inlineStr">
        <is>
          <t>A.5.37</t>
        </is>
      </c>
      <c r="B41" s="12" t="inlineStr">
        <is>
          <t>Documented operating procedures</t>
        </is>
      </c>
      <c r="C41" s="11" t="inlineStr">
        <is>
          <t>Organisational</t>
        </is>
      </c>
      <c r="D41" s="11" t="inlineStr">
        <is>
          <t>Yes</t>
        </is>
      </c>
      <c r="E41" s="11" t="inlineStr">
        <is>
          <t>X</t>
        </is>
      </c>
      <c r="F41" s="11" t="n"/>
      <c r="G41" s="11" t="n"/>
      <c r="H41" s="11" t="n"/>
      <c r="I41" s="12" t="inlineStr">
        <is>
          <t>Key systems depend on a few people's knowledge.</t>
        </is>
      </c>
      <c r="J41" s="11" t="inlineStr">
        <is>
          <t>Partially implemented</t>
        </is>
      </c>
      <c r="K41" s="12" t="inlineStr">
        <is>
          <t>Head of University IT Centre (HIZ)</t>
        </is>
      </c>
      <c r="L41" s="12" t="inlineStr">
        <is>
          <t>HIZ operations handbook</t>
        </is>
      </c>
      <c r="M41" s="11" t="inlineStr">
        <is>
          <t>R17</t>
        </is>
      </c>
      <c r="N41" s="13">
        <f>IF(M41="",0,LEN(M41)-LEN(SUBSTITUTE(M41,",",""))+1)</f>
        <v/>
      </c>
    </row>
    <row r="42">
      <c r="A42" s="11" t="inlineStr">
        <is>
          <t>A.6.1</t>
        </is>
      </c>
      <c r="B42" s="12" t="inlineStr">
        <is>
          <t>Background checks</t>
        </is>
      </c>
      <c r="C42" s="11" t="inlineStr">
        <is>
          <t>People</t>
        </is>
      </c>
      <c r="D42" s="11" t="inlineStr">
        <is>
          <t>Yes</t>
        </is>
      </c>
      <c r="E42" s="11" t="n"/>
      <c r="F42" s="11" t="inlineStr">
        <is>
          <t>X</t>
        </is>
      </c>
      <c r="G42" s="11" t="n"/>
      <c r="H42" s="11" t="n"/>
      <c r="I42" s="12" t="inlineStr">
        <is>
          <t>Limited by German employment and data protection law; applied to administrator roles only.</t>
        </is>
      </c>
      <c r="J42" s="11" t="inlineStr">
        <is>
          <t>Partially implemented</t>
        </is>
      </c>
      <c r="K42" s="12" t="inlineStr">
        <is>
          <t>Director of Human Resources</t>
        </is>
      </c>
      <c r="L42" s="12" t="inlineStr">
        <is>
          <t>HR Security Procedure</t>
        </is>
      </c>
      <c r="M42" s="11" t="n"/>
      <c r="N42" s="13">
        <f>IF(M42="",0,LEN(M42)-LEN(SUBSTITUTE(M42,",",""))+1)</f>
        <v/>
      </c>
    </row>
    <row r="43">
      <c r="A43" s="11" t="inlineStr">
        <is>
          <t>A.6.2</t>
        </is>
      </c>
      <c r="B43" s="12" t="inlineStr">
        <is>
          <t>Employment terms covering security</t>
        </is>
      </c>
      <c r="C43" s="11" t="inlineStr">
        <is>
          <t>People</t>
        </is>
      </c>
      <c r="D43" s="11" t="inlineStr">
        <is>
          <t>Yes</t>
        </is>
      </c>
      <c r="E43" s="11" t="n"/>
      <c r="F43" s="11" t="inlineStr">
        <is>
          <t>X</t>
        </is>
      </c>
      <c r="G43" s="11" t="n"/>
      <c r="H43" s="11" t="n"/>
      <c r="I43" s="12" t="inlineStr">
        <is>
          <t>Contracts refer to confidentiality and the IT usage regulations.</t>
        </is>
      </c>
      <c r="J43" s="11" t="inlineStr">
        <is>
          <t>Implemented</t>
        </is>
      </c>
      <c r="K43" s="12" t="inlineStr">
        <is>
          <t>Director of Human Resources</t>
        </is>
      </c>
      <c r="L43" s="12" t="inlineStr">
        <is>
          <t>Employment contract templates</t>
        </is>
      </c>
      <c r="M43" s="11" t="n"/>
      <c r="N43" s="13">
        <f>IF(M43="",0,LEN(M43)-LEN(SUBSTITUTE(M43,",",""))+1)</f>
        <v/>
      </c>
    </row>
    <row r="44">
      <c r="A44" s="11" t="inlineStr">
        <is>
          <t>A.6.3</t>
        </is>
      </c>
      <c r="B44" s="12" t="inlineStr">
        <is>
          <t>Security awareness and training</t>
        </is>
      </c>
      <c r="C44" s="11" t="inlineStr">
        <is>
          <t>People</t>
        </is>
      </c>
      <c r="D44" s="11" t="inlineStr">
        <is>
          <t>Yes</t>
        </is>
      </c>
      <c r="E44" s="11" t="inlineStr">
        <is>
          <t>X</t>
        </is>
      </c>
      <c r="F44" s="11" t="n"/>
      <c r="G44" s="11" t="n"/>
      <c r="H44" s="11" t="n"/>
      <c r="I44" s="12" t="inlineStr">
        <is>
          <t>Phishing is the main entry point; training today is occasional emails only.</t>
        </is>
      </c>
      <c r="J44" s="11" t="inlineStr">
        <is>
          <t>Partially implemented</t>
        </is>
      </c>
      <c r="K44" s="12" t="inlineStr">
        <is>
          <t>Chief Information Security Officer (CISO)</t>
        </is>
      </c>
      <c r="L44" s="12" t="inlineStr">
        <is>
          <t>Planned: Awareness Programme</t>
        </is>
      </c>
      <c r="M44" s="11" t="inlineStr">
        <is>
          <t>R02</t>
        </is>
      </c>
      <c r="N44" s="13">
        <f>IF(M44="",0,LEN(M44)-LEN(SUBSTITUTE(M44,",",""))+1)</f>
        <v/>
      </c>
    </row>
    <row r="45">
      <c r="A45" s="11" t="inlineStr">
        <is>
          <t>A.6.4</t>
        </is>
      </c>
      <c r="B45" s="12" t="inlineStr">
        <is>
          <t>Disciplinary process</t>
        </is>
      </c>
      <c r="C45" s="11" t="inlineStr">
        <is>
          <t>People</t>
        </is>
      </c>
      <c r="D45" s="11" t="inlineStr">
        <is>
          <t>Yes</t>
        </is>
      </c>
      <c r="E45" s="11" t="n"/>
      <c r="F45" s="11" t="inlineStr">
        <is>
          <t>X</t>
        </is>
      </c>
      <c r="G45" s="11" t="n"/>
      <c r="H45" s="11" t="n"/>
      <c r="I45" s="12" t="inlineStr">
        <is>
          <t>Public service and student regulations already provide a process.</t>
        </is>
      </c>
      <c r="J45" s="11" t="inlineStr">
        <is>
          <t>Implemented</t>
        </is>
      </c>
      <c r="K45" s="12" t="inlineStr">
        <is>
          <t>Director of Human Resources</t>
        </is>
      </c>
      <c r="L45" s="12" t="inlineStr">
        <is>
          <t>HR Security Procedure</t>
        </is>
      </c>
      <c r="M45" s="11" t="n"/>
      <c r="N45" s="13">
        <f>IF(M45="",0,LEN(M45)-LEN(SUBSTITUTE(M45,",",""))+1)</f>
        <v/>
      </c>
    </row>
    <row r="46">
      <c r="A46" s="11" t="inlineStr">
        <is>
          <t>A.6.5</t>
        </is>
      </c>
      <c r="B46" s="12" t="inlineStr">
        <is>
          <t>Duties after leaving or changing role</t>
        </is>
      </c>
      <c r="C46" s="11" t="inlineStr">
        <is>
          <t>People</t>
        </is>
      </c>
      <c r="D46" s="11" t="inlineStr">
        <is>
          <t>Yes</t>
        </is>
      </c>
      <c r="E46" s="11" t="n"/>
      <c r="F46" s="11" t="inlineStr">
        <is>
          <t>X</t>
        </is>
      </c>
      <c r="G46" s="11" t="n"/>
      <c r="H46" s="11" t="n"/>
      <c r="I46" s="12" t="inlineStr">
        <is>
          <t>Confidentiality continues after people leave; access changes on role moves are missed.</t>
        </is>
      </c>
      <c r="J46" s="11" t="inlineStr">
        <is>
          <t>Partially implemented</t>
        </is>
      </c>
      <c r="K46" s="12" t="inlineStr">
        <is>
          <t>Director of Human Resources</t>
        </is>
      </c>
      <c r="L46" s="12" t="inlineStr">
        <is>
          <t>HR Security Procedure</t>
        </is>
      </c>
      <c r="M46" s="11" t="n"/>
      <c r="N46" s="13">
        <f>IF(M46="",0,LEN(M46)-LEN(SUBSTITUTE(M46,",",""))+1)</f>
        <v/>
      </c>
    </row>
    <row r="47">
      <c r="A47" s="11" t="inlineStr">
        <is>
          <t>A.6.6</t>
        </is>
      </c>
      <c r="B47" s="12" t="inlineStr">
        <is>
          <t>Confidentiality agreements</t>
        </is>
      </c>
      <c r="C47" s="11" t="inlineStr">
        <is>
          <t>People</t>
        </is>
      </c>
      <c r="D47" s="11" t="inlineStr">
        <is>
          <t>Yes</t>
        </is>
      </c>
      <c r="E47" s="11" t="n"/>
      <c r="F47" s="11" t="inlineStr">
        <is>
          <t>X</t>
        </is>
      </c>
      <c r="G47" s="11" t="inlineStr">
        <is>
          <t>X</t>
        </is>
      </c>
      <c r="H47" s="11" t="n"/>
      <c r="I47" s="12" t="inlineStr">
        <is>
          <t>Needed for guests, contractors and industry research partners.</t>
        </is>
      </c>
      <c r="J47" s="11" t="inlineStr">
        <is>
          <t>Implemented</t>
        </is>
      </c>
      <c r="K47" s="12" t="inlineStr">
        <is>
          <t>Head of Legal Affairs</t>
        </is>
      </c>
      <c r="L47" s="12" t="inlineStr">
        <is>
          <t>NDA templates</t>
        </is>
      </c>
      <c r="M47" s="11" t="n"/>
      <c r="N47" s="13">
        <f>IF(M47="",0,LEN(M47)-LEN(SUBSTITUTE(M47,",",""))+1)</f>
        <v/>
      </c>
    </row>
    <row r="48">
      <c r="A48" s="11" t="inlineStr">
        <is>
          <t>A.6.7</t>
        </is>
      </c>
      <c r="B48" s="12" t="inlineStr">
        <is>
          <t>Remote working</t>
        </is>
      </c>
      <c r="C48" s="11" t="inlineStr">
        <is>
          <t>People</t>
        </is>
      </c>
      <c r="D48" s="11" t="inlineStr">
        <is>
          <t>Yes</t>
        </is>
      </c>
      <c r="E48" s="11" t="n"/>
      <c r="F48" s="11" t="n"/>
      <c r="G48" s="11" t="n"/>
      <c r="H48" s="11" t="inlineStr">
        <is>
          <t>X</t>
        </is>
      </c>
      <c r="I48" s="12" t="inlineStr">
        <is>
          <t>Staff work from home and travel to conferences; VPN is available.</t>
        </is>
      </c>
      <c r="J48" s="11" t="inlineStr">
        <is>
          <t>Partially implemented</t>
        </is>
      </c>
      <c r="K48" s="12" t="inlineStr">
        <is>
          <t>Chief Information Security Officer (CISO)</t>
        </is>
      </c>
      <c r="L48" s="12" t="inlineStr">
        <is>
          <t>Remote Working Guideline</t>
        </is>
      </c>
      <c r="M48" s="11" t="n"/>
      <c r="N48" s="13">
        <f>IF(M48="",0,LEN(M48)-LEN(SUBSTITUTE(M48,",",""))+1)</f>
        <v/>
      </c>
    </row>
    <row r="49">
      <c r="A49" s="11" t="inlineStr">
        <is>
          <t>A.6.8</t>
        </is>
      </c>
      <c r="B49" s="12" t="inlineStr">
        <is>
          <t>Reporting security events</t>
        </is>
      </c>
      <c r="C49" s="11" t="inlineStr">
        <is>
          <t>People</t>
        </is>
      </c>
      <c r="D49" s="11" t="inlineStr">
        <is>
          <t>Yes</t>
        </is>
      </c>
      <c r="E49" s="11" t="n"/>
      <c r="F49" s="11" t="inlineStr">
        <is>
          <t>X</t>
        </is>
      </c>
      <c r="G49" s="11" t="n"/>
      <c r="H49" s="11" t="n"/>
      <c r="I49" s="12" t="inlineStr">
        <is>
          <t>Everyone can report via the IT service desk; needed for breach deadlines.</t>
        </is>
      </c>
      <c r="J49" s="11" t="inlineStr">
        <is>
          <t>Implemented</t>
        </is>
      </c>
      <c r="K49" s="12" t="inlineStr">
        <is>
          <t>Chief Information Security Officer (CISO)</t>
        </is>
      </c>
      <c r="L49" s="12" t="inlineStr">
        <is>
          <t>Incident Response Plan</t>
        </is>
      </c>
      <c r="M49" s="11" t="n"/>
      <c r="N49" s="13">
        <f>IF(M49="",0,LEN(M49)-LEN(SUBSTITUTE(M49,",",""))+1)</f>
        <v/>
      </c>
    </row>
    <row r="50">
      <c r="A50" s="11" t="inlineStr">
        <is>
          <t>A.7.1</t>
        </is>
      </c>
      <c r="B50" s="12" t="inlineStr">
        <is>
          <t>Physical security perimeters</t>
        </is>
      </c>
      <c r="C50" s="11" t="inlineStr">
        <is>
          <t>Physical</t>
        </is>
      </c>
      <c r="D50" s="11" t="inlineStr">
        <is>
          <t>Yes</t>
        </is>
      </c>
      <c r="E50" s="11" t="n"/>
      <c r="F50" s="11" t="n"/>
      <c r="G50" s="11" t="n"/>
      <c r="H50" s="11" t="inlineStr">
        <is>
          <t>X</t>
        </is>
      </c>
      <c r="I50" s="12" t="inlineStr">
        <is>
          <t>Open campus by design; perimeters are set for the data centre and server rooms only.</t>
        </is>
      </c>
      <c r="J50" s="11" t="inlineStr">
        <is>
          <t>Partially implemented</t>
        </is>
      </c>
      <c r="K50" s="12" t="inlineStr">
        <is>
          <t>Head of Facilities Management</t>
        </is>
      </c>
      <c r="L50" s="12" t="inlineStr">
        <is>
          <t>Physical Security Guideline</t>
        </is>
      </c>
      <c r="M50" s="11" t="n"/>
      <c r="N50" s="13">
        <f>IF(M50="",0,LEN(M50)-LEN(SUBSTITUTE(M50,",",""))+1)</f>
        <v/>
      </c>
    </row>
    <row r="51">
      <c r="A51" s="11" t="inlineStr">
        <is>
          <t>A.7.2</t>
        </is>
      </c>
      <c r="B51" s="12" t="inlineStr">
        <is>
          <t>Physical entry controls</t>
        </is>
      </c>
      <c r="C51" s="11" t="inlineStr">
        <is>
          <t>Physical</t>
        </is>
      </c>
      <c r="D51" s="11" t="inlineStr">
        <is>
          <t>Yes</t>
        </is>
      </c>
      <c r="E51" s="11" t="n"/>
      <c r="F51" s="11" t="n"/>
      <c r="G51" s="11" t="n"/>
      <c r="H51" s="11" t="inlineStr">
        <is>
          <t>X</t>
        </is>
      </c>
      <c r="I51" s="12" t="inlineStr">
        <is>
          <t>Data centre and server rooms use badge access.</t>
        </is>
      </c>
      <c r="J51" s="11" t="inlineStr">
        <is>
          <t>Implemented</t>
        </is>
      </c>
      <c r="K51" s="12" t="inlineStr">
        <is>
          <t>Head of Facilities Management</t>
        </is>
      </c>
      <c r="L51" s="12" t="inlineStr">
        <is>
          <t>Physical Security Guideline</t>
        </is>
      </c>
      <c r="M51" s="11" t="n"/>
      <c r="N51" s="13">
        <f>IF(M51="",0,LEN(M51)-LEN(SUBSTITUTE(M51,",",""))+1)</f>
        <v/>
      </c>
    </row>
    <row r="52">
      <c r="A52" s="11" t="inlineStr">
        <is>
          <t>A.7.3</t>
        </is>
      </c>
      <c r="B52" s="12" t="inlineStr">
        <is>
          <t>Securing offices and facilities</t>
        </is>
      </c>
      <c r="C52" s="11" t="inlineStr">
        <is>
          <t>Physical</t>
        </is>
      </c>
      <c r="D52" s="11" t="inlineStr">
        <is>
          <t>Yes</t>
        </is>
      </c>
      <c r="E52" s="11" t="n"/>
      <c r="F52" s="11" t="n"/>
      <c r="G52" s="11" t="n"/>
      <c r="H52" s="11" t="inlineStr">
        <is>
          <t>X</t>
        </is>
      </c>
      <c r="I52" s="12" t="inlineStr">
        <is>
          <t>Offices handling exams and HR files need locks and closed windows.</t>
        </is>
      </c>
      <c r="J52" s="11" t="inlineStr">
        <is>
          <t>Partially implemented</t>
        </is>
      </c>
      <c r="K52" s="12" t="inlineStr">
        <is>
          <t>Head of Facilities Management</t>
        </is>
      </c>
      <c r="L52" s="12" t="inlineStr">
        <is>
          <t>Physical Security Guideline</t>
        </is>
      </c>
      <c r="M52" s="11" t="n"/>
      <c r="N52" s="13">
        <f>IF(M52="",0,LEN(M52)-LEN(SUBSTITUTE(M52,",",""))+1)</f>
        <v/>
      </c>
    </row>
    <row r="53">
      <c r="A53" s="11" t="inlineStr">
        <is>
          <t>A.7.4</t>
        </is>
      </c>
      <c r="B53" s="12" t="inlineStr">
        <is>
          <t>Physical security monitoring</t>
        </is>
      </c>
      <c r="C53" s="11" t="inlineStr">
        <is>
          <t>Physical</t>
        </is>
      </c>
      <c r="D53" s="11" t="inlineStr">
        <is>
          <t>Yes</t>
        </is>
      </c>
      <c r="E53" s="11" t="n"/>
      <c r="F53" s="11" t="n"/>
      <c r="G53" s="11" t="n"/>
      <c r="H53" s="11" t="inlineStr">
        <is>
          <t>X</t>
        </is>
      </c>
      <c r="I53" s="12" t="inlineStr">
        <is>
          <t>Alarm system covers the data centre; institute server rooms are not monitored.</t>
        </is>
      </c>
      <c r="J53" s="11" t="inlineStr">
        <is>
          <t>Partially implemented</t>
        </is>
      </c>
      <c r="K53" s="12" t="inlineStr">
        <is>
          <t>Head of Facilities Management</t>
        </is>
      </c>
      <c r="L53" s="12" t="inlineStr">
        <is>
          <t>Physical Security Guideline</t>
        </is>
      </c>
      <c r="M53" s="11" t="n"/>
      <c r="N53" s="13">
        <f>IF(M53="",0,LEN(M53)-LEN(SUBSTITUTE(M53,",",""))+1)</f>
        <v/>
      </c>
    </row>
    <row r="54">
      <c r="A54" s="11" t="inlineStr">
        <is>
          <t>A.7.5</t>
        </is>
      </c>
      <c r="B54" s="12" t="inlineStr">
        <is>
          <t>Protection from physical and environmental threats</t>
        </is>
      </c>
      <c r="C54" s="11" t="inlineStr">
        <is>
          <t>Physical</t>
        </is>
      </c>
      <c r="D54" s="11" t="inlineStr">
        <is>
          <t>Yes</t>
        </is>
      </c>
      <c r="E54" s="11" t="inlineStr">
        <is>
          <t>X</t>
        </is>
      </c>
      <c r="F54" s="11" t="n"/>
      <c r="G54" s="11" t="n"/>
      <c r="H54" s="11" t="n"/>
      <c r="I54" s="12" t="inlineStr">
        <is>
          <t>Fire, water and heat could destroy central IT.</t>
        </is>
      </c>
      <c r="J54" s="11" t="inlineStr">
        <is>
          <t>Partially implemented</t>
        </is>
      </c>
      <c r="K54" s="12" t="inlineStr">
        <is>
          <t>Head of Facilities Management</t>
        </is>
      </c>
      <c r="L54" s="12" t="inlineStr">
        <is>
          <t>Data Centre Operations Manual</t>
        </is>
      </c>
      <c r="M54" s="11" t="inlineStr">
        <is>
          <t>R12</t>
        </is>
      </c>
      <c r="N54" s="13">
        <f>IF(M54="",0,LEN(M54)-LEN(SUBSTITUTE(M54,",",""))+1)</f>
        <v/>
      </c>
    </row>
    <row r="55">
      <c r="A55" s="11" t="inlineStr">
        <is>
          <t>A.7.6</t>
        </is>
      </c>
      <c r="B55" s="12" t="inlineStr">
        <is>
          <t>Working in secure areas</t>
        </is>
      </c>
      <c r="C55" s="11" t="inlineStr">
        <is>
          <t>Physical</t>
        </is>
      </c>
      <c r="D55" s="11" t="inlineStr">
        <is>
          <t>Yes</t>
        </is>
      </c>
      <c r="E55" s="11" t="n"/>
      <c r="F55" s="11" t="n"/>
      <c r="G55" s="11" t="n"/>
      <c r="H55" s="11" t="inlineStr">
        <is>
          <t>X</t>
        </is>
      </c>
      <c r="I55" s="12" t="inlineStr">
        <is>
          <t>Visitors and contractors in the data centre are escorted.</t>
        </is>
      </c>
      <c r="J55" s="11" t="inlineStr">
        <is>
          <t>Implemented</t>
        </is>
      </c>
      <c r="K55" s="12" t="inlineStr">
        <is>
          <t>Head of Facilities Management</t>
        </is>
      </c>
      <c r="L55" s="12" t="inlineStr">
        <is>
          <t>Data Centre Operations Manual</t>
        </is>
      </c>
      <c r="M55" s="11" t="n"/>
      <c r="N55" s="13">
        <f>IF(M55="",0,LEN(M55)-LEN(SUBSTITUTE(M55,",",""))+1)</f>
        <v/>
      </c>
    </row>
    <row r="56">
      <c r="A56" s="11" t="inlineStr">
        <is>
          <t>A.7.7</t>
        </is>
      </c>
      <c r="B56" s="12" t="inlineStr">
        <is>
          <t>Clear desk and clear screen</t>
        </is>
      </c>
      <c r="C56" s="11" t="inlineStr">
        <is>
          <t>Physical</t>
        </is>
      </c>
      <c r="D56" s="11" t="inlineStr">
        <is>
          <t>Yes</t>
        </is>
      </c>
      <c r="E56" s="11" t="n"/>
      <c r="F56" s="11" t="n"/>
      <c r="G56" s="11" t="n"/>
      <c r="H56" s="11" t="inlineStr">
        <is>
          <t>X</t>
        </is>
      </c>
      <c r="I56" s="12" t="inlineStr">
        <is>
          <t>Shared offices and public areas expose documents and screens.</t>
        </is>
      </c>
      <c r="J56" s="11" t="inlineStr">
        <is>
          <t>Partially implemented</t>
        </is>
      </c>
      <c r="K56" s="12" t="inlineStr">
        <is>
          <t>Chief Information Security Officer (CISO)</t>
        </is>
      </c>
      <c r="L56" s="12" t="inlineStr">
        <is>
          <t>IT Usage Regulations</t>
        </is>
      </c>
      <c r="M56" s="11" t="n"/>
      <c r="N56" s="13">
        <f>IF(M56="",0,LEN(M56)-LEN(SUBSTITUTE(M56,",",""))+1)</f>
        <v/>
      </c>
    </row>
    <row r="57">
      <c r="A57" s="11" t="inlineStr">
        <is>
          <t>A.7.8</t>
        </is>
      </c>
      <c r="B57" s="12" t="inlineStr">
        <is>
          <t>Siting and protecting equipment</t>
        </is>
      </c>
      <c r="C57" s="11" t="inlineStr">
        <is>
          <t>Physical</t>
        </is>
      </c>
      <c r="D57" s="11" t="inlineStr">
        <is>
          <t>Yes</t>
        </is>
      </c>
      <c r="E57" s="11" t="n"/>
      <c r="F57" s="11" t="n"/>
      <c r="G57" s="11" t="n"/>
      <c r="H57" s="11" t="inlineStr">
        <is>
          <t>X</t>
        </is>
      </c>
      <c r="I57" s="12" t="inlineStr">
        <is>
          <t>Servers and network devices sit in locked rooms and racks.</t>
        </is>
      </c>
      <c r="J57" s="11" t="inlineStr">
        <is>
          <t>Implemented</t>
        </is>
      </c>
      <c r="K57" s="12" t="inlineStr">
        <is>
          <t>Head of Facilities Management</t>
        </is>
      </c>
      <c r="L57" s="12" t="inlineStr">
        <is>
          <t>Data Centre Operations Manual</t>
        </is>
      </c>
      <c r="M57" s="11" t="n"/>
      <c r="N57" s="13">
        <f>IF(M57="",0,LEN(M57)-LEN(SUBSTITUTE(M57,",",""))+1)</f>
        <v/>
      </c>
    </row>
    <row r="58">
      <c r="A58" s="11" t="inlineStr">
        <is>
          <t>A.7.9</t>
        </is>
      </c>
      <c r="B58" s="12" t="inlineStr">
        <is>
          <t>Assets used off-site</t>
        </is>
      </c>
      <c r="C58" s="11" t="inlineStr">
        <is>
          <t>Physical</t>
        </is>
      </c>
      <c r="D58" s="11" t="inlineStr">
        <is>
          <t>Yes</t>
        </is>
      </c>
      <c r="E58" s="11" t="inlineStr">
        <is>
          <t>X</t>
        </is>
      </c>
      <c r="F58" s="11" t="n"/>
      <c r="G58" s="11" t="n"/>
      <c r="H58" s="11" t="n"/>
      <c r="I58" s="12" t="inlineStr">
        <is>
          <t>Laptops are taken home and to conferences.</t>
        </is>
      </c>
      <c r="J58" s="11" t="inlineStr">
        <is>
          <t>Partially implemented</t>
        </is>
      </c>
      <c r="K58" s="12" t="inlineStr">
        <is>
          <t>Chief Information Security Officer (CISO)</t>
        </is>
      </c>
      <c r="L58" s="12" t="inlineStr">
        <is>
          <t>Remote Working Guideline</t>
        </is>
      </c>
      <c r="M58" s="11" t="inlineStr">
        <is>
          <t>R04</t>
        </is>
      </c>
      <c r="N58" s="13">
        <f>IF(M58="",0,LEN(M58)-LEN(SUBSTITUTE(M58,",",""))+1)</f>
        <v/>
      </c>
    </row>
    <row r="59">
      <c r="A59" s="11" t="inlineStr">
        <is>
          <t>A.7.10</t>
        </is>
      </c>
      <c r="B59" s="12" t="inlineStr">
        <is>
          <t>Storage media</t>
        </is>
      </c>
      <c r="C59" s="11" t="inlineStr">
        <is>
          <t>Physical</t>
        </is>
      </c>
      <c r="D59" s="11" t="inlineStr">
        <is>
          <t>Yes</t>
        </is>
      </c>
      <c r="E59" s="11" t="n"/>
      <c r="F59" s="11" t="inlineStr">
        <is>
          <t>X</t>
        </is>
      </c>
      <c r="G59" s="11" t="n"/>
      <c r="H59" s="11" t="n"/>
      <c r="I59" s="12" t="inlineStr">
        <is>
          <t>USB drives and external disks carry research and personal data.</t>
        </is>
      </c>
      <c r="J59" s="11" t="inlineStr">
        <is>
          <t>Partially implemented</t>
        </is>
      </c>
      <c r="K59" s="12" t="inlineStr">
        <is>
          <t>Head of University IT Centre (HIZ)</t>
        </is>
      </c>
      <c r="L59" s="12" t="inlineStr">
        <is>
          <t>Cryptography Guideline</t>
        </is>
      </c>
      <c r="M59" s="11" t="n"/>
      <c r="N59" s="13">
        <f>IF(M59="",0,LEN(M59)-LEN(SUBSTITUTE(M59,",",""))+1)</f>
        <v/>
      </c>
    </row>
    <row r="60">
      <c r="A60" s="11" t="inlineStr">
        <is>
          <t>A.7.11</t>
        </is>
      </c>
      <c r="B60" s="12" t="inlineStr">
        <is>
          <t>Supporting utilities</t>
        </is>
      </c>
      <c r="C60" s="11" t="inlineStr">
        <is>
          <t>Physical</t>
        </is>
      </c>
      <c r="D60" s="11" t="inlineStr">
        <is>
          <t>Yes</t>
        </is>
      </c>
      <c r="E60" s="11" t="inlineStr">
        <is>
          <t>X</t>
        </is>
      </c>
      <c r="F60" s="11" t="n"/>
      <c r="G60" s="11" t="n"/>
      <c r="H60" s="11" t="n"/>
      <c r="I60" s="12" t="inlineStr">
        <is>
          <t>Data centre has UPS and generator; cooling is redundant.</t>
        </is>
      </c>
      <c r="J60" s="11" t="inlineStr">
        <is>
          <t>Implemented</t>
        </is>
      </c>
      <c r="K60" s="12" t="inlineStr">
        <is>
          <t>Head of Facilities Management</t>
        </is>
      </c>
      <c r="L60" s="12" t="inlineStr">
        <is>
          <t>Data Centre Operations Manual</t>
        </is>
      </c>
      <c r="M60" s="11" t="inlineStr">
        <is>
          <t>R12</t>
        </is>
      </c>
      <c r="N60" s="13">
        <f>IF(M60="",0,LEN(M60)-LEN(SUBSTITUTE(M60,",",""))+1)</f>
        <v/>
      </c>
    </row>
    <row r="61">
      <c r="A61" s="11" t="inlineStr">
        <is>
          <t>A.7.12</t>
        </is>
      </c>
      <c r="B61" s="12" t="inlineStr">
        <is>
          <t>Cabling security</t>
        </is>
      </c>
      <c r="C61" s="11" t="inlineStr">
        <is>
          <t>Physical</t>
        </is>
      </c>
      <c r="D61" s="11" t="inlineStr">
        <is>
          <t>Yes</t>
        </is>
      </c>
      <c r="E61" s="11" t="n"/>
      <c r="F61" s="11" t="n"/>
      <c r="G61" s="11" t="n"/>
      <c r="H61" s="11" t="inlineStr">
        <is>
          <t>X</t>
        </is>
      </c>
      <c r="I61" s="12" t="inlineStr">
        <is>
          <t>Campus fibre and data centre cabling run in protected ducts.</t>
        </is>
      </c>
      <c r="J61" s="11" t="inlineStr">
        <is>
          <t>Implemented</t>
        </is>
      </c>
      <c r="K61" s="12" t="inlineStr">
        <is>
          <t>Head of Facilities Management</t>
        </is>
      </c>
      <c r="L61" s="12" t="inlineStr">
        <is>
          <t>Network Security Concept</t>
        </is>
      </c>
      <c r="M61" s="11" t="n"/>
      <c r="N61" s="13">
        <f>IF(M61="",0,LEN(M61)-LEN(SUBSTITUTE(M61,",",""))+1)</f>
        <v/>
      </c>
    </row>
    <row r="62">
      <c r="A62" s="11" t="inlineStr">
        <is>
          <t>A.7.13</t>
        </is>
      </c>
      <c r="B62" s="12" t="inlineStr">
        <is>
          <t>Equipment maintenance</t>
        </is>
      </c>
      <c r="C62" s="11" t="inlineStr">
        <is>
          <t>Physical</t>
        </is>
      </c>
      <c r="D62" s="11" t="inlineStr">
        <is>
          <t>Yes</t>
        </is>
      </c>
      <c r="E62" s="11" t="n"/>
      <c r="F62" s="11" t="n"/>
      <c r="G62" s="11" t="n"/>
      <c r="H62" s="11" t="inlineStr">
        <is>
          <t>X</t>
        </is>
      </c>
      <c r="I62" s="12" t="inlineStr">
        <is>
          <t>Maintenance contracts for UPS, cooling and core hardware.</t>
        </is>
      </c>
      <c r="J62" s="11" t="inlineStr">
        <is>
          <t>Implemented</t>
        </is>
      </c>
      <c r="K62" s="12" t="inlineStr">
        <is>
          <t>Head of Facilities Management</t>
        </is>
      </c>
      <c r="L62" s="12" t="inlineStr">
        <is>
          <t>Data Centre Operations Manual</t>
        </is>
      </c>
      <c r="M62" s="11" t="n"/>
      <c r="N62" s="13">
        <f>IF(M62="",0,LEN(M62)-LEN(SUBSTITUTE(M62,",",""))+1)</f>
        <v/>
      </c>
    </row>
    <row r="63">
      <c r="A63" s="11" t="inlineStr">
        <is>
          <t>A.7.14</t>
        </is>
      </c>
      <c r="B63" s="12" t="inlineStr">
        <is>
          <t>Secure disposal or reuse of equipment</t>
        </is>
      </c>
      <c r="C63" s="11" t="inlineStr">
        <is>
          <t>Physical</t>
        </is>
      </c>
      <c r="D63" s="11" t="inlineStr">
        <is>
          <t>Yes</t>
        </is>
      </c>
      <c r="E63" s="11" t="n"/>
      <c r="F63" s="11" t="inlineStr">
        <is>
          <t>X</t>
        </is>
      </c>
      <c r="G63" s="11" t="n"/>
      <c r="H63" s="11" t="n"/>
      <c r="I63" s="12" t="inlineStr">
        <is>
          <t>Old disks may hold personal data; wiping is done centrally but not by institutes.</t>
        </is>
      </c>
      <c r="J63" s="11" t="inlineStr">
        <is>
          <t>Partially implemented</t>
        </is>
      </c>
      <c r="K63" s="12" t="inlineStr">
        <is>
          <t>Head of University IT Centre (HIZ)</t>
        </is>
      </c>
      <c r="L63" s="12" t="inlineStr">
        <is>
          <t>Disposal Procedure</t>
        </is>
      </c>
      <c r="M63" s="11" t="n"/>
      <c r="N63" s="13">
        <f>IF(M63="",0,LEN(M63)-LEN(SUBSTITUTE(M63,",",""))+1)</f>
        <v/>
      </c>
    </row>
    <row r="64">
      <c r="A64" s="11" t="inlineStr">
        <is>
          <t>A.8.1</t>
        </is>
      </c>
      <c r="B64" s="12" t="inlineStr">
        <is>
          <t>User endpoint devices</t>
        </is>
      </c>
      <c r="C64" s="11" t="inlineStr">
        <is>
          <t>Technological</t>
        </is>
      </c>
      <c r="D64" s="11" t="inlineStr">
        <is>
          <t>Yes</t>
        </is>
      </c>
      <c r="E64" s="11" t="inlineStr">
        <is>
          <t>X</t>
        </is>
      </c>
      <c r="F64" s="11" t="n"/>
      <c r="G64" s="11" t="n"/>
      <c r="H64" s="11" t="n"/>
      <c r="I64" s="12" t="inlineStr">
        <is>
          <t>Many laptops are not centrally managed or encrypted.</t>
        </is>
      </c>
      <c r="J64" s="11" t="inlineStr">
        <is>
          <t>Partially implemented</t>
        </is>
      </c>
      <c r="K64" s="12" t="inlineStr">
        <is>
          <t>Chief Information Security Officer (CISO)</t>
        </is>
      </c>
      <c r="L64" s="12" t="inlineStr">
        <is>
          <t>Endpoint Security Guideline</t>
        </is>
      </c>
      <c r="M64" s="11" t="inlineStr">
        <is>
          <t>R04</t>
        </is>
      </c>
      <c r="N64" s="13">
        <f>IF(M64="",0,LEN(M64)-LEN(SUBSTITUTE(M64,",",""))+1)</f>
        <v/>
      </c>
    </row>
    <row r="65">
      <c r="A65" s="11" t="inlineStr">
        <is>
          <t>A.8.2</t>
        </is>
      </c>
      <c r="B65" s="12" t="inlineStr">
        <is>
          <t>Privileged access</t>
        </is>
      </c>
      <c r="C65" s="11" t="inlineStr">
        <is>
          <t>Technological</t>
        </is>
      </c>
      <c r="D65" s="11" t="inlineStr">
        <is>
          <t>Yes</t>
        </is>
      </c>
      <c r="E65" s="11" t="inlineStr">
        <is>
          <t>X</t>
        </is>
      </c>
      <c r="F65" s="11" t="n"/>
      <c r="G65" s="11" t="n"/>
      <c r="H65" s="11" t="n"/>
      <c r="I65" s="12" t="inlineStr">
        <is>
          <t>Admin accounts have broad standing rights.</t>
        </is>
      </c>
      <c r="J65" s="11" t="inlineStr">
        <is>
          <t>Partially implemented</t>
        </is>
      </c>
      <c r="K65" s="12" t="inlineStr">
        <is>
          <t>Head of University IT Centre (HIZ)</t>
        </is>
      </c>
      <c r="L65" s="12" t="inlineStr">
        <is>
          <t>Access Control Guideline</t>
        </is>
      </c>
      <c r="M65" s="11" t="inlineStr">
        <is>
          <t>R08</t>
        </is>
      </c>
      <c r="N65" s="13">
        <f>IF(M65="",0,LEN(M65)-LEN(SUBSTITUTE(M65,",",""))+1)</f>
        <v/>
      </c>
    </row>
    <row r="66">
      <c r="A66" s="11" t="inlineStr">
        <is>
          <t>A.8.3</t>
        </is>
      </c>
      <c r="B66" s="12" t="inlineStr">
        <is>
          <t>Restricting access to information</t>
        </is>
      </c>
      <c r="C66" s="11" t="inlineStr">
        <is>
          <t>Technological</t>
        </is>
      </c>
      <c r="D66" s="11" t="inlineStr">
        <is>
          <t>Yes</t>
        </is>
      </c>
      <c r="E66" s="11" t="n"/>
      <c r="F66" s="11" t="inlineStr">
        <is>
          <t>X</t>
        </is>
      </c>
      <c r="G66" s="11" t="n"/>
      <c r="H66" s="11" t="n"/>
      <c r="I66" s="12" t="inlineStr">
        <is>
          <t>Shared drives and cloud folders are often open to large groups.</t>
        </is>
      </c>
      <c r="J66" s="11" t="inlineStr">
        <is>
          <t>Partially implemented</t>
        </is>
      </c>
      <c r="K66" s="12" t="inlineStr">
        <is>
          <t>Head of University IT Centre (HIZ)</t>
        </is>
      </c>
      <c r="L66" s="12" t="inlineStr">
        <is>
          <t>Access Control Guideline</t>
        </is>
      </c>
      <c r="M66" s="11" t="n"/>
      <c r="N66" s="13">
        <f>IF(M66="",0,LEN(M66)-LEN(SUBSTITUTE(M66,",",""))+1)</f>
        <v/>
      </c>
    </row>
    <row r="67">
      <c r="A67" s="11" t="inlineStr">
        <is>
          <t>A.8.4</t>
        </is>
      </c>
      <c r="B67" s="12" t="inlineStr">
        <is>
          <t>Access to source code</t>
        </is>
      </c>
      <c r="C67" s="11" t="inlineStr">
        <is>
          <t>Technological</t>
        </is>
      </c>
      <c r="D67" s="11" t="inlineStr">
        <is>
          <t>Yes</t>
        </is>
      </c>
      <c r="E67" s="11" t="n"/>
      <c r="F67" s="11" t="n"/>
      <c r="G67" s="11" t="n"/>
      <c r="H67" s="11" t="inlineStr">
        <is>
          <t>X</t>
        </is>
      </c>
      <c r="I67" s="12" t="inlineStr">
        <is>
          <t>In-house applications are kept in a central Git service; rights are not reviewed.</t>
        </is>
      </c>
      <c r="J67" s="11" t="inlineStr">
        <is>
          <t>Partially implemented</t>
        </is>
      </c>
      <c r="K67" s="12" t="inlineStr">
        <is>
          <t>Head of University IT Centre (HIZ)</t>
        </is>
      </c>
      <c r="L67" s="12" t="inlineStr">
        <is>
          <t>Secure Development Guideline</t>
        </is>
      </c>
      <c r="M67" s="11" t="n"/>
      <c r="N67" s="13">
        <f>IF(M67="",0,LEN(M67)-LEN(SUBSTITUTE(M67,",",""))+1)</f>
        <v/>
      </c>
    </row>
    <row r="68">
      <c r="A68" s="11" t="inlineStr">
        <is>
          <t>A.8.5</t>
        </is>
      </c>
      <c r="B68" s="12" t="inlineStr">
        <is>
          <t>Secure authentication</t>
        </is>
      </c>
      <c r="C68" s="11" t="inlineStr">
        <is>
          <t>Technological</t>
        </is>
      </c>
      <c r="D68" s="11" t="inlineStr">
        <is>
          <t>Yes</t>
        </is>
      </c>
      <c r="E68" s="11" t="inlineStr">
        <is>
          <t>X</t>
        </is>
      </c>
      <c r="F68" s="11" t="n"/>
      <c r="G68" s="11" t="n"/>
      <c r="H68" s="11" t="n"/>
      <c r="I68" s="12" t="inlineStr">
        <is>
          <t>Single sign-on protects many services; MFA is being rolled out.</t>
        </is>
      </c>
      <c r="J68" s="11" t="inlineStr">
        <is>
          <t>Partially implemented</t>
        </is>
      </c>
      <c r="K68" s="12" t="inlineStr">
        <is>
          <t>Head of University IT Centre (HIZ)</t>
        </is>
      </c>
      <c r="L68" s="12" t="inlineStr">
        <is>
          <t>Identity Management Concept</t>
        </is>
      </c>
      <c r="M68" s="11" t="inlineStr">
        <is>
          <t>R02</t>
        </is>
      </c>
      <c r="N68" s="13">
        <f>IF(M68="",0,LEN(M68)-LEN(SUBSTITUTE(M68,",",""))+1)</f>
        <v/>
      </c>
    </row>
    <row r="69">
      <c r="A69" s="11" t="inlineStr">
        <is>
          <t>A.8.6</t>
        </is>
      </c>
      <c r="B69" s="12" t="inlineStr">
        <is>
          <t>Capacity management</t>
        </is>
      </c>
      <c r="C69" s="11" t="inlineStr">
        <is>
          <t>Technological</t>
        </is>
      </c>
      <c r="D69" s="11" t="inlineStr">
        <is>
          <t>Yes</t>
        </is>
      </c>
      <c r="E69" s="11" t="inlineStr">
        <is>
          <t>X</t>
        </is>
      </c>
      <c r="F69" s="11" t="n"/>
      <c r="G69" s="11" t="n"/>
      <c r="H69" s="11" t="n"/>
      <c r="I69" s="12" t="inlineStr">
        <is>
          <t>Peak loads at enrolment and exam registration and from attacks.</t>
        </is>
      </c>
      <c r="J69" s="11" t="inlineStr">
        <is>
          <t>Partially implemented</t>
        </is>
      </c>
      <c r="K69" s="12" t="inlineStr">
        <is>
          <t>Head of University IT Centre (HIZ)</t>
        </is>
      </c>
      <c r="L69" s="12" t="inlineStr">
        <is>
          <t>Capacity planning notes</t>
        </is>
      </c>
      <c r="M69" s="11" t="inlineStr">
        <is>
          <t>R07, R13</t>
        </is>
      </c>
      <c r="N69" s="13">
        <f>IF(M69="",0,LEN(M69)-LEN(SUBSTITUTE(M69,",",""))+1)</f>
        <v/>
      </c>
    </row>
    <row r="70">
      <c r="A70" s="11" t="inlineStr">
        <is>
          <t>A.8.7</t>
        </is>
      </c>
      <c r="B70" s="12" t="inlineStr">
        <is>
          <t>Malware protection</t>
        </is>
      </c>
      <c r="C70" s="11" t="inlineStr">
        <is>
          <t>Technological</t>
        </is>
      </c>
      <c r="D70" s="11" t="inlineStr">
        <is>
          <t>Yes</t>
        </is>
      </c>
      <c r="E70" s="11" t="inlineStr">
        <is>
          <t>X</t>
        </is>
      </c>
      <c r="F70" s="11" t="n"/>
      <c r="G70" s="11" t="n"/>
      <c r="H70" s="11" t="n"/>
      <c r="I70" s="12" t="inlineStr">
        <is>
          <t>Antivirus on endpoints; servers lack detection and response tooling.</t>
        </is>
      </c>
      <c r="J70" s="11" t="inlineStr">
        <is>
          <t>Partially implemented</t>
        </is>
      </c>
      <c r="K70" s="12" t="inlineStr">
        <is>
          <t>Head of University IT Centre (HIZ)</t>
        </is>
      </c>
      <c r="L70" s="12" t="inlineStr">
        <is>
          <t>Endpoint Security Guideline</t>
        </is>
      </c>
      <c r="M70" s="11" t="inlineStr">
        <is>
          <t>R01</t>
        </is>
      </c>
      <c r="N70" s="13">
        <f>IF(M70="",0,LEN(M70)-LEN(SUBSTITUTE(M70,",",""))+1)</f>
        <v/>
      </c>
    </row>
    <row r="71">
      <c r="A71" s="11" t="inlineStr">
        <is>
          <t>A.8.8</t>
        </is>
      </c>
      <c r="B71" s="12" t="inlineStr">
        <is>
          <t>Technical vulnerability management</t>
        </is>
      </c>
      <c r="C71" s="11" t="inlineStr">
        <is>
          <t>Technological</t>
        </is>
      </c>
      <c r="D71" s="11" t="inlineStr">
        <is>
          <t>Yes</t>
        </is>
      </c>
      <c r="E71" s="11" t="inlineStr">
        <is>
          <t>X</t>
        </is>
      </c>
      <c r="F71" s="11" t="n"/>
      <c r="G71" s="11" t="n"/>
      <c r="H71" s="11" t="n"/>
      <c r="I71" s="12" t="inlineStr">
        <is>
          <t>Public IP ranges are scanned yearly; institute systems are patched irregularly.</t>
        </is>
      </c>
      <c r="J71" s="11" t="inlineStr">
        <is>
          <t>Partially implemented</t>
        </is>
      </c>
      <c r="K71" s="12" t="inlineStr">
        <is>
          <t>Chief Information Security Officer (CISO)</t>
        </is>
      </c>
      <c r="L71" s="12" t="inlineStr">
        <is>
          <t>Patch and Vulnerability Procedure</t>
        </is>
      </c>
      <c r="M71" s="11" t="inlineStr">
        <is>
          <t>R06</t>
        </is>
      </c>
      <c r="N71" s="13">
        <f>IF(M71="",0,LEN(M71)-LEN(SUBSTITUTE(M71,",",""))+1)</f>
        <v/>
      </c>
    </row>
    <row r="72">
      <c r="A72" s="11" t="inlineStr">
        <is>
          <t>A.8.9</t>
        </is>
      </c>
      <c r="B72" s="12" t="inlineStr">
        <is>
          <t>Configuration management</t>
        </is>
      </c>
      <c r="C72" s="11" t="inlineStr">
        <is>
          <t>Technological</t>
        </is>
      </c>
      <c r="D72" s="11" t="inlineStr">
        <is>
          <t>Yes</t>
        </is>
      </c>
      <c r="E72" s="11" t="n"/>
      <c r="F72" s="11" t="n"/>
      <c r="G72" s="11" t="n"/>
      <c r="H72" s="11" t="inlineStr">
        <is>
          <t>X</t>
        </is>
      </c>
      <c r="I72" s="12" t="inlineStr">
        <is>
          <t>Central servers follow baselines; institute systems do not.</t>
        </is>
      </c>
      <c r="J72" s="11" t="inlineStr">
        <is>
          <t>Partially implemented</t>
        </is>
      </c>
      <c r="K72" s="12" t="inlineStr">
        <is>
          <t>Head of University IT Centre (HIZ)</t>
        </is>
      </c>
      <c r="L72" s="12" t="inlineStr">
        <is>
          <t>Configuration Management Database</t>
        </is>
      </c>
      <c r="M72" s="11" t="n"/>
      <c r="N72" s="13">
        <f>IF(M72="",0,LEN(M72)-LEN(SUBSTITUTE(M72,",",""))+1)</f>
        <v/>
      </c>
    </row>
    <row r="73">
      <c r="A73" s="11" t="inlineStr">
        <is>
          <t>A.8.10</t>
        </is>
      </c>
      <c r="B73" s="12" t="inlineStr">
        <is>
          <t>Deleting information</t>
        </is>
      </c>
      <c r="C73" s="11" t="inlineStr">
        <is>
          <t>Technological</t>
        </is>
      </c>
      <c r="D73" s="11" t="inlineStr">
        <is>
          <t>Yes</t>
        </is>
      </c>
      <c r="E73" s="11" t="n"/>
      <c r="F73" s="11" t="inlineStr">
        <is>
          <t>X</t>
        </is>
      </c>
      <c r="G73" s="11" t="n"/>
      <c r="H73" s="11" t="n"/>
      <c r="I73" s="12" t="inlineStr">
        <is>
          <t>Personal data must be deleted when no longer needed.</t>
        </is>
      </c>
      <c r="J73" s="11" t="inlineStr">
        <is>
          <t>Partially implemented</t>
        </is>
      </c>
      <c r="K73" s="12" t="inlineStr">
        <is>
          <t>Data Protection Officer</t>
        </is>
      </c>
      <c r="L73" s="12" t="inlineStr">
        <is>
          <t>Records Retention Schedule</t>
        </is>
      </c>
      <c r="M73" s="11" t="n"/>
      <c r="N73" s="13">
        <f>IF(M73="",0,LEN(M73)-LEN(SUBSTITUTE(M73,",",""))+1)</f>
        <v/>
      </c>
    </row>
    <row r="74">
      <c r="A74" s="11" t="inlineStr">
        <is>
          <t>A.8.11</t>
        </is>
      </c>
      <c r="B74" s="12" t="inlineStr">
        <is>
          <t>Data masking</t>
        </is>
      </c>
      <c r="C74" s="11" t="inlineStr">
        <is>
          <t>Technological</t>
        </is>
      </c>
      <c r="D74" s="11" t="inlineStr">
        <is>
          <t>Yes</t>
        </is>
      </c>
      <c r="E74" s="11" t="inlineStr">
        <is>
          <t>X</t>
        </is>
      </c>
      <c r="F74" s="11" t="inlineStr">
        <is>
          <t>X</t>
        </is>
      </c>
      <c r="G74" s="11" t="n"/>
      <c r="H74" s="11" t="n"/>
      <c r="I74" s="12" t="inlineStr">
        <is>
          <t>Research data with health information needs pseudonymisation.</t>
        </is>
      </c>
      <c r="J74" s="11" t="inlineStr">
        <is>
          <t>Planned</t>
        </is>
      </c>
      <c r="K74" s="12" t="inlineStr">
        <is>
          <t>Vice President for Research</t>
        </is>
      </c>
      <c r="L74" s="12" t="inlineStr">
        <is>
          <t>Planned: Pseudonymisation Guideline</t>
        </is>
      </c>
      <c r="M74" s="11" t="inlineStr">
        <is>
          <t>R03</t>
        </is>
      </c>
      <c r="N74" s="13">
        <f>IF(M74="",0,LEN(M74)-LEN(SUBSTITUTE(M74,",",""))+1)</f>
        <v/>
      </c>
    </row>
    <row r="75">
      <c r="A75" s="11" t="inlineStr">
        <is>
          <t>A.8.12</t>
        </is>
      </c>
      <c r="B75" s="12" t="inlineStr">
        <is>
          <t>Data leakage prevention</t>
        </is>
      </c>
      <c r="C75" s="11" t="inlineStr">
        <is>
          <t>Technological</t>
        </is>
      </c>
      <c r="D75" s="11" t="inlineStr">
        <is>
          <t>Yes</t>
        </is>
      </c>
      <c r="E75" s="11" t="n"/>
      <c r="F75" s="11" t="inlineStr">
        <is>
          <t>X</t>
        </is>
      </c>
      <c r="G75" s="11" t="n"/>
      <c r="H75" s="11" t="n"/>
      <c r="I75" s="12" t="inlineStr">
        <is>
          <t>Personal and research data can leave by email, cloud and AI tools.</t>
        </is>
      </c>
      <c r="J75" s="11" t="inlineStr">
        <is>
          <t>Not implemented</t>
        </is>
      </c>
      <c r="K75" s="12" t="inlineStr">
        <is>
          <t>Chief Information Security Officer (CISO)</t>
        </is>
      </c>
      <c r="L75" s="12" t="inlineStr">
        <is>
          <t>Planned: DLP rules for email</t>
        </is>
      </c>
      <c r="M75" s="11" t="n"/>
      <c r="N75" s="13">
        <f>IF(M75="",0,LEN(M75)-LEN(SUBSTITUTE(M75,",",""))+1)</f>
        <v/>
      </c>
    </row>
    <row r="76">
      <c r="A76" s="11" t="inlineStr">
        <is>
          <t>A.8.13</t>
        </is>
      </c>
      <c r="B76" s="12" t="inlineStr">
        <is>
          <t>Backup</t>
        </is>
      </c>
      <c r="C76" s="11" t="inlineStr">
        <is>
          <t>Technological</t>
        </is>
      </c>
      <c r="D76" s="11" t="inlineStr">
        <is>
          <t>Yes</t>
        </is>
      </c>
      <c r="E76" s="11" t="inlineStr">
        <is>
          <t>X</t>
        </is>
      </c>
      <c r="F76" s="11" t="n"/>
      <c r="G76" s="11" t="n"/>
      <c r="H76" s="11" t="n"/>
      <c r="I76" s="12" t="inlineStr">
        <is>
          <t>Nightly backups exist; no offline copy and restores are not tested.</t>
        </is>
      </c>
      <c r="J76" s="11" t="inlineStr">
        <is>
          <t>Partially implemented</t>
        </is>
      </c>
      <c r="K76" s="12" t="inlineStr">
        <is>
          <t>Head of University IT Centre (HIZ)</t>
        </is>
      </c>
      <c r="L76" s="12" t="inlineStr">
        <is>
          <t>Backup Concept</t>
        </is>
      </c>
      <c r="M76" s="11" t="inlineStr">
        <is>
          <t>R01, R12</t>
        </is>
      </c>
      <c r="N76" s="13">
        <f>IF(M76="",0,LEN(M76)-LEN(SUBSTITUTE(M76,",",""))+1)</f>
        <v/>
      </c>
    </row>
    <row r="77">
      <c r="A77" s="11" t="inlineStr">
        <is>
          <t>A.8.14</t>
        </is>
      </c>
      <c r="B77" s="12" t="inlineStr">
        <is>
          <t>Redundancy</t>
        </is>
      </c>
      <c r="C77" s="11" t="inlineStr">
        <is>
          <t>Technological</t>
        </is>
      </c>
      <c r="D77" s="11" t="inlineStr">
        <is>
          <t>Yes</t>
        </is>
      </c>
      <c r="E77" s="11" t="inlineStr">
        <is>
          <t>X</t>
        </is>
      </c>
      <c r="F77" s="11" t="n"/>
      <c r="G77" s="11" t="n"/>
      <c r="H77" s="11" t="n"/>
      <c r="I77" s="12" t="inlineStr">
        <is>
          <t>Campus management and core services need to survive a single failure.</t>
        </is>
      </c>
      <c r="J77" s="11" t="inlineStr">
        <is>
          <t>Partially implemented</t>
        </is>
      </c>
      <c r="K77" s="12" t="inlineStr">
        <is>
          <t>Head of University IT Centre (HIZ)</t>
        </is>
      </c>
      <c r="L77" s="12" t="inlineStr">
        <is>
          <t>Business Continuity Plan</t>
        </is>
      </c>
      <c r="M77" s="11" t="inlineStr">
        <is>
          <t>R07</t>
        </is>
      </c>
      <c r="N77" s="13">
        <f>IF(M77="",0,LEN(M77)-LEN(SUBSTITUTE(M77,",",""))+1)</f>
        <v/>
      </c>
    </row>
    <row r="78">
      <c r="A78" s="11" t="inlineStr">
        <is>
          <t>A.8.15</t>
        </is>
      </c>
      <c r="B78" s="12" t="inlineStr">
        <is>
          <t>Logging</t>
        </is>
      </c>
      <c r="C78" s="11" t="inlineStr">
        <is>
          <t>Technological</t>
        </is>
      </c>
      <c r="D78" s="11" t="inlineStr">
        <is>
          <t>Yes</t>
        </is>
      </c>
      <c r="E78" s="11" t="inlineStr">
        <is>
          <t>X</t>
        </is>
      </c>
      <c r="F78" s="11" t="inlineStr">
        <is>
          <t>X</t>
        </is>
      </c>
      <c r="G78" s="11" t="n"/>
      <c r="H78" s="11" t="n"/>
      <c r="I78" s="12" t="inlineStr">
        <is>
          <t>Logs are kept per system, not centrally; admin actions are not logged everywhere.</t>
        </is>
      </c>
      <c r="J78" s="11" t="inlineStr">
        <is>
          <t>Partially implemented</t>
        </is>
      </c>
      <c r="K78" s="12" t="inlineStr">
        <is>
          <t>Head of University IT Centre (HIZ)</t>
        </is>
      </c>
      <c r="L78" s="12" t="inlineStr">
        <is>
          <t>Logging and Monitoring Concept</t>
        </is>
      </c>
      <c r="M78" s="11" t="inlineStr">
        <is>
          <t>R08</t>
        </is>
      </c>
      <c r="N78" s="13">
        <f>IF(M78="",0,LEN(M78)-LEN(SUBSTITUTE(M78,",",""))+1)</f>
        <v/>
      </c>
    </row>
    <row r="79">
      <c r="A79" s="11" t="inlineStr">
        <is>
          <t>A.8.16</t>
        </is>
      </c>
      <c r="B79" s="12" t="inlineStr">
        <is>
          <t>Monitoring activities</t>
        </is>
      </c>
      <c r="C79" s="11" t="inlineStr">
        <is>
          <t>Technological</t>
        </is>
      </c>
      <c r="D79" s="11" t="inlineStr">
        <is>
          <t>Yes</t>
        </is>
      </c>
      <c r="E79" s="11" t="inlineStr">
        <is>
          <t>X</t>
        </is>
      </c>
      <c r="F79" s="11" t="n"/>
      <c r="G79" s="11" t="n"/>
      <c r="H79" s="11" t="n"/>
      <c r="I79" s="12" t="inlineStr">
        <is>
          <t>Attacks are found late; no central security monitoring.</t>
        </is>
      </c>
      <c r="J79" s="11" t="inlineStr">
        <is>
          <t>Partially implemented</t>
        </is>
      </c>
      <c r="K79" s="12" t="inlineStr">
        <is>
          <t>Chief Information Security Officer (CISO)</t>
        </is>
      </c>
      <c r="L79" s="12" t="inlineStr">
        <is>
          <t>Logging and Monitoring Concept</t>
        </is>
      </c>
      <c r="M79" s="11" t="inlineStr">
        <is>
          <t>R11, R15</t>
        </is>
      </c>
      <c r="N79" s="13">
        <f>IF(M79="",0,LEN(M79)-LEN(SUBSTITUTE(M79,",",""))+1)</f>
        <v/>
      </c>
    </row>
    <row r="80">
      <c r="A80" s="11" t="inlineStr">
        <is>
          <t>A.8.17</t>
        </is>
      </c>
      <c r="B80" s="12" t="inlineStr">
        <is>
          <t>Clock synchronisation</t>
        </is>
      </c>
      <c r="C80" s="11" t="inlineStr">
        <is>
          <t>Technological</t>
        </is>
      </c>
      <c r="D80" s="11" t="inlineStr">
        <is>
          <t>Yes</t>
        </is>
      </c>
      <c r="E80" s="11" t="n"/>
      <c r="F80" s="11" t="n"/>
      <c r="G80" s="11" t="n"/>
      <c r="H80" s="11" t="inlineStr">
        <is>
          <t>X</t>
        </is>
      </c>
      <c r="I80" s="12" t="inlineStr">
        <is>
          <t>Central time servers keep log timestamps consistent.</t>
        </is>
      </c>
      <c r="J80" s="11" t="inlineStr">
        <is>
          <t>Implemented</t>
        </is>
      </c>
      <c r="K80" s="12" t="inlineStr">
        <is>
          <t>Head of University IT Centre (HIZ)</t>
        </is>
      </c>
      <c r="L80" s="12" t="inlineStr">
        <is>
          <t>Network Security Concept</t>
        </is>
      </c>
      <c r="M80" s="11" t="n"/>
      <c r="N80" s="13">
        <f>IF(M80="",0,LEN(M80)-LEN(SUBSTITUTE(M80,",",""))+1)</f>
        <v/>
      </c>
    </row>
    <row r="81">
      <c r="A81" s="11" t="inlineStr">
        <is>
          <t>A.8.18</t>
        </is>
      </c>
      <c r="B81" s="12" t="inlineStr">
        <is>
          <t>Use of privileged utility programs</t>
        </is>
      </c>
      <c r="C81" s="11" t="inlineStr">
        <is>
          <t>Technological</t>
        </is>
      </c>
      <c r="D81" s="11" t="inlineStr">
        <is>
          <t>Yes</t>
        </is>
      </c>
      <c r="E81" s="11" t="n"/>
      <c r="F81" s="11" t="n"/>
      <c r="G81" s="11" t="n"/>
      <c r="H81" s="11" t="inlineStr">
        <is>
          <t>X</t>
        </is>
      </c>
      <c r="I81" s="12" t="inlineStr">
        <is>
          <t>Admin tools are restricted on central systems only.</t>
        </is>
      </c>
      <c r="J81" s="11" t="inlineStr">
        <is>
          <t>Partially implemented</t>
        </is>
      </c>
      <c r="K81" s="12" t="inlineStr">
        <is>
          <t>Head of University IT Centre (HIZ)</t>
        </is>
      </c>
      <c r="L81" s="12" t="inlineStr">
        <is>
          <t>Access Control Guideline</t>
        </is>
      </c>
      <c r="M81" s="11" t="n"/>
      <c r="N81" s="13">
        <f>IF(M81="",0,LEN(M81)-LEN(SUBSTITUTE(M81,",",""))+1)</f>
        <v/>
      </c>
    </row>
    <row r="82">
      <c r="A82" s="11" t="inlineStr">
        <is>
          <t>A.8.19</t>
        </is>
      </c>
      <c r="B82" s="12" t="inlineStr">
        <is>
          <t>Installing software on operational systems</t>
        </is>
      </c>
      <c r="C82" s="11" t="inlineStr">
        <is>
          <t>Technological</t>
        </is>
      </c>
      <c r="D82" s="11" t="inlineStr">
        <is>
          <t>Yes</t>
        </is>
      </c>
      <c r="E82" s="11" t="n"/>
      <c r="F82" s="11" t="n"/>
      <c r="G82" s="11" t="n"/>
      <c r="H82" s="11" t="inlineStr">
        <is>
          <t>X</t>
        </is>
      </c>
      <c r="I82" s="12" t="inlineStr">
        <is>
          <t>Central systems use change control; institutes install freely.</t>
        </is>
      </c>
      <c r="J82" s="11" t="inlineStr">
        <is>
          <t>Partially implemented</t>
        </is>
      </c>
      <c r="K82" s="12" t="inlineStr">
        <is>
          <t>Head of University IT Centre (HIZ)</t>
        </is>
      </c>
      <c r="L82" s="12" t="inlineStr">
        <is>
          <t>Change Management Procedure</t>
        </is>
      </c>
      <c r="M82" s="11" t="n"/>
      <c r="N82" s="13">
        <f>IF(M82="",0,LEN(M82)-LEN(SUBSTITUTE(M82,",",""))+1)</f>
        <v/>
      </c>
    </row>
    <row r="83">
      <c r="A83" s="11" t="inlineStr">
        <is>
          <t>A.8.20</t>
        </is>
      </c>
      <c r="B83" s="12" t="inlineStr">
        <is>
          <t>Network security</t>
        </is>
      </c>
      <c r="C83" s="11" t="inlineStr">
        <is>
          <t>Technological</t>
        </is>
      </c>
      <c r="D83" s="11" t="inlineStr">
        <is>
          <t>Yes</t>
        </is>
      </c>
      <c r="E83" s="11" t="inlineStr">
        <is>
          <t>X</t>
        </is>
      </c>
      <c r="F83" s="11" t="n"/>
      <c r="G83" s="11" t="n"/>
      <c r="H83" s="11" t="n"/>
      <c r="I83" s="12" t="inlineStr">
        <is>
          <t>Edge firewall and upstream DDoS filtering; remaining DoS risk is accepted.</t>
        </is>
      </c>
      <c r="J83" s="11" t="inlineStr">
        <is>
          <t>Implemented</t>
        </is>
      </c>
      <c r="K83" s="12" t="inlineStr">
        <is>
          <t>Head of University IT Centre (HIZ)</t>
        </is>
      </c>
      <c r="L83" s="12" t="inlineStr">
        <is>
          <t>Network Security Concept</t>
        </is>
      </c>
      <c r="M83" s="11" t="inlineStr">
        <is>
          <t>R13, R16</t>
        </is>
      </c>
      <c r="N83" s="13">
        <f>IF(M83="",0,LEN(M83)-LEN(SUBSTITUTE(M83,",",""))+1)</f>
        <v/>
      </c>
    </row>
    <row r="84">
      <c r="A84" s="11" t="inlineStr">
        <is>
          <t>A.8.21</t>
        </is>
      </c>
      <c r="B84" s="12" t="inlineStr">
        <is>
          <t>Security of network services</t>
        </is>
      </c>
      <c r="C84" s="11" t="inlineStr">
        <is>
          <t>Technological</t>
        </is>
      </c>
      <c r="D84" s="11" t="inlineStr">
        <is>
          <t>Yes</t>
        </is>
      </c>
      <c r="E84" s="11" t="n"/>
      <c r="F84" s="11" t="n"/>
      <c r="G84" s="11" t="inlineStr">
        <is>
          <t>X</t>
        </is>
      </c>
      <c r="H84" s="11" t="n"/>
      <c r="I84" s="12" t="inlineStr">
        <is>
          <t>Uplink, eduroam and VPN have defined service and security terms.</t>
        </is>
      </c>
      <c r="J84" s="11" t="inlineStr">
        <is>
          <t>Implemented</t>
        </is>
      </c>
      <c r="K84" s="12" t="inlineStr">
        <is>
          <t>Head of University IT Centre (HIZ)</t>
        </is>
      </c>
      <c r="L84" s="12" t="inlineStr">
        <is>
          <t>Network Security Concept</t>
        </is>
      </c>
      <c r="M84" s="11" t="n"/>
      <c r="N84" s="13">
        <f>IF(M84="",0,LEN(M84)-LEN(SUBSTITUTE(M84,",",""))+1)</f>
        <v/>
      </c>
    </row>
    <row r="85">
      <c r="A85" s="11" t="inlineStr">
        <is>
          <t>A.8.22</t>
        </is>
      </c>
      <c r="B85" s="12" t="inlineStr">
        <is>
          <t>Network segregation</t>
        </is>
      </c>
      <c r="C85" s="11" t="inlineStr">
        <is>
          <t>Technological</t>
        </is>
      </c>
      <c r="D85" s="11" t="inlineStr">
        <is>
          <t>Yes</t>
        </is>
      </c>
      <c r="E85" s="11" t="inlineStr">
        <is>
          <t>X</t>
        </is>
      </c>
      <c r="F85" s="11" t="n"/>
      <c r="G85" s="11" t="n"/>
      <c r="H85" s="11" t="n"/>
      <c r="I85" s="12" t="inlineStr">
        <is>
          <t>Lab equipment and building systems share the campus network.</t>
        </is>
      </c>
      <c r="J85" s="11" t="inlineStr">
        <is>
          <t>Partially implemented</t>
        </is>
      </c>
      <c r="K85" s="12" t="inlineStr">
        <is>
          <t>Head of University IT Centre (HIZ)</t>
        </is>
      </c>
      <c r="L85" s="12" t="inlineStr">
        <is>
          <t>Network Security Concept</t>
        </is>
      </c>
      <c r="M85" s="11" t="inlineStr">
        <is>
          <t>R16</t>
        </is>
      </c>
      <c r="N85" s="13">
        <f>IF(M85="",0,LEN(M85)-LEN(SUBSTITUTE(M85,",",""))+1)</f>
        <v/>
      </c>
    </row>
    <row r="86">
      <c r="A86" s="11" t="inlineStr">
        <is>
          <t>A.8.23</t>
        </is>
      </c>
      <c r="B86" s="12" t="inlineStr">
        <is>
          <t>Web filtering</t>
        </is>
      </c>
      <c r="C86" s="11" t="inlineStr">
        <is>
          <t>Technological</t>
        </is>
      </c>
      <c r="D86" s="11" t="inlineStr">
        <is>
          <t>Yes</t>
        </is>
      </c>
      <c r="E86" s="11" t="n"/>
      <c r="F86" s="11" t="n"/>
      <c r="G86" s="11" t="n"/>
      <c r="H86" s="11" t="inlineStr">
        <is>
          <t>X</t>
        </is>
      </c>
      <c r="I86" s="12" t="inlineStr">
        <is>
          <t>Limited to blocking known malicious sites; no content filtering, out of respect for academic freedom.</t>
        </is>
      </c>
      <c r="J86" s="11" t="inlineStr">
        <is>
          <t>Partially implemented</t>
        </is>
      </c>
      <c r="K86" s="12" t="inlineStr">
        <is>
          <t>Head of University IT Centre (HIZ)</t>
        </is>
      </c>
      <c r="L86" s="12" t="inlineStr">
        <is>
          <t>Network Security Concept</t>
        </is>
      </c>
      <c r="M86" s="11" t="n"/>
      <c r="N86" s="13">
        <f>IF(M86="",0,LEN(M86)-LEN(SUBSTITUTE(M86,",",""))+1)</f>
        <v/>
      </c>
    </row>
    <row r="87">
      <c r="A87" s="11" t="inlineStr">
        <is>
          <t>A.8.24</t>
        </is>
      </c>
      <c r="B87" s="12" t="inlineStr">
        <is>
          <t>Cryptography</t>
        </is>
      </c>
      <c r="C87" s="11" t="inlineStr">
        <is>
          <t>Technological</t>
        </is>
      </c>
      <c r="D87" s="11" t="inlineStr">
        <is>
          <t>Yes</t>
        </is>
      </c>
      <c r="E87" s="11" t="inlineStr">
        <is>
          <t>X</t>
        </is>
      </c>
      <c r="F87" s="11" t="inlineStr">
        <is>
          <t>X</t>
        </is>
      </c>
      <c r="G87" s="11" t="n"/>
      <c r="H87" s="11" t="n"/>
      <c r="I87" s="12" t="inlineStr">
        <is>
          <t>Encryption protects laptops, research data and data in transit.</t>
        </is>
      </c>
      <c r="J87" s="11" t="inlineStr">
        <is>
          <t>Partially implemented</t>
        </is>
      </c>
      <c r="K87" s="12" t="inlineStr">
        <is>
          <t>Chief Information Security Officer (CISO)</t>
        </is>
      </c>
      <c r="L87" s="12" t="inlineStr">
        <is>
          <t>Cryptography Guideline</t>
        </is>
      </c>
      <c r="M87" s="11" t="inlineStr">
        <is>
          <t>R04</t>
        </is>
      </c>
      <c r="N87" s="13">
        <f>IF(M87="",0,LEN(M87)-LEN(SUBSTITUTE(M87,",",""))+1)</f>
        <v/>
      </c>
    </row>
    <row r="88">
      <c r="A88" s="11" t="inlineStr">
        <is>
          <t>A.8.25</t>
        </is>
      </c>
      <c r="B88" s="12" t="inlineStr">
        <is>
          <t>Secure development life cycle</t>
        </is>
      </c>
      <c r="C88" s="11" t="inlineStr">
        <is>
          <t>Technological</t>
        </is>
      </c>
      <c r="D88" s="11" t="inlineStr">
        <is>
          <t>Yes</t>
        </is>
      </c>
      <c r="E88" s="11" t="inlineStr">
        <is>
          <t>X</t>
        </is>
      </c>
      <c r="F88" s="11" t="n"/>
      <c r="G88" s="11" t="n"/>
      <c r="H88" s="11" t="n"/>
      <c r="I88" s="12" t="inlineStr">
        <is>
          <t>HIZ and institutes build their own web applications.</t>
        </is>
      </c>
      <c r="J88" s="11" t="inlineStr">
        <is>
          <t>Planned</t>
        </is>
      </c>
      <c r="K88" s="12" t="inlineStr">
        <is>
          <t>Chief Information Security Officer (CISO)</t>
        </is>
      </c>
      <c r="L88" s="12" t="inlineStr">
        <is>
          <t>Planned: Secure Development Guideline</t>
        </is>
      </c>
      <c r="M88" s="11" t="inlineStr">
        <is>
          <t>R14</t>
        </is>
      </c>
      <c r="N88" s="13">
        <f>IF(M88="",0,LEN(M88)-LEN(SUBSTITUTE(M88,",",""))+1)</f>
        <v/>
      </c>
    </row>
    <row r="89">
      <c r="A89" s="11" t="inlineStr">
        <is>
          <t>A.8.26</t>
        </is>
      </c>
      <c r="B89" s="12" t="inlineStr">
        <is>
          <t>Application security requirements</t>
        </is>
      </c>
      <c r="C89" s="11" t="inlineStr">
        <is>
          <t>Technological</t>
        </is>
      </c>
      <c r="D89" s="11" t="inlineStr">
        <is>
          <t>Yes</t>
        </is>
      </c>
      <c r="E89" s="11" t="n"/>
      <c r="F89" s="11" t="n"/>
      <c r="G89" s="11" t="n"/>
      <c r="H89" s="11" t="inlineStr">
        <is>
          <t>X</t>
        </is>
      </c>
      <c r="I89" s="12" t="inlineStr">
        <is>
          <t>Security needs are not written into specifications or tenders.</t>
        </is>
      </c>
      <c r="J89" s="11" t="inlineStr">
        <is>
          <t>Not implemented</t>
        </is>
      </c>
      <c r="K89" s="12" t="inlineStr">
        <is>
          <t>Chief Information Security Officer (CISO)</t>
        </is>
      </c>
      <c r="L89" s="12" t="inlineStr">
        <is>
          <t>Planned: Secure Development Guideline</t>
        </is>
      </c>
      <c r="M89" s="11" t="n"/>
      <c r="N89" s="13">
        <f>IF(M89="",0,LEN(M89)-LEN(SUBSTITUTE(M89,",",""))+1)</f>
        <v/>
      </c>
    </row>
    <row r="90">
      <c r="A90" s="11" t="inlineStr">
        <is>
          <t>A.8.27</t>
        </is>
      </c>
      <c r="B90" s="12" t="inlineStr">
        <is>
          <t>Secure system architecture and engineering</t>
        </is>
      </c>
      <c r="C90" s="11" t="inlineStr">
        <is>
          <t>Technological</t>
        </is>
      </c>
      <c r="D90" s="11" t="inlineStr">
        <is>
          <t>Yes</t>
        </is>
      </c>
      <c r="E90" s="11" t="n"/>
      <c r="F90" s="11" t="n"/>
      <c r="G90" s="11" t="n"/>
      <c r="H90" s="11" t="inlineStr">
        <is>
          <t>X</t>
        </is>
      </c>
      <c r="I90" s="12" t="inlineStr">
        <is>
          <t>Design principles are applied to central systems only.</t>
        </is>
      </c>
      <c r="J90" s="11" t="inlineStr">
        <is>
          <t>Partially implemented</t>
        </is>
      </c>
      <c r="K90" s="12" t="inlineStr">
        <is>
          <t>Head of University IT Centre (HIZ)</t>
        </is>
      </c>
      <c r="L90" s="12" t="inlineStr">
        <is>
          <t>Network Security Concept</t>
        </is>
      </c>
      <c r="M90" s="11" t="n"/>
      <c r="N90" s="13">
        <f>IF(M90="",0,LEN(M90)-LEN(SUBSTITUTE(M90,",",""))+1)</f>
        <v/>
      </c>
    </row>
    <row r="91">
      <c r="A91" s="11" t="inlineStr">
        <is>
          <t>A.8.28</t>
        </is>
      </c>
      <c r="B91" s="12" t="inlineStr">
        <is>
          <t>Secure coding</t>
        </is>
      </c>
      <c r="C91" s="11" t="inlineStr">
        <is>
          <t>Technological</t>
        </is>
      </c>
      <c r="D91" s="11" t="inlineStr">
        <is>
          <t>Yes</t>
        </is>
      </c>
      <c r="E91" s="11" t="inlineStr">
        <is>
          <t>X</t>
        </is>
      </c>
      <c r="F91" s="11" t="n"/>
      <c r="G91" s="11" t="n"/>
      <c r="H91" s="11" t="n"/>
      <c r="I91" s="12" t="inlineStr">
        <is>
          <t>In-house code has had injection and access flaws.</t>
        </is>
      </c>
      <c r="J91" s="11" t="inlineStr">
        <is>
          <t>Planned</t>
        </is>
      </c>
      <c r="K91" s="12" t="inlineStr">
        <is>
          <t>Chief Information Security Officer (CISO)</t>
        </is>
      </c>
      <c r="L91" s="12" t="inlineStr">
        <is>
          <t>Planned: Secure Development Guideline</t>
        </is>
      </c>
      <c r="M91" s="11" t="inlineStr">
        <is>
          <t>R14</t>
        </is>
      </c>
      <c r="N91" s="13">
        <f>IF(M91="",0,LEN(M91)-LEN(SUBSTITUTE(M91,",",""))+1)</f>
        <v/>
      </c>
    </row>
    <row r="92">
      <c r="A92" s="11" t="inlineStr">
        <is>
          <t>A.8.29</t>
        </is>
      </c>
      <c r="B92" s="12" t="inlineStr">
        <is>
          <t>Security testing in development and acceptance</t>
        </is>
      </c>
      <c r="C92" s="11" t="inlineStr">
        <is>
          <t>Technological</t>
        </is>
      </c>
      <c r="D92" s="11" t="inlineStr">
        <is>
          <t>Yes</t>
        </is>
      </c>
      <c r="E92" s="11" t="inlineStr">
        <is>
          <t>X</t>
        </is>
      </c>
      <c r="F92" s="11" t="n"/>
      <c r="G92" s="11" t="n"/>
      <c r="H92" s="11" t="n"/>
      <c r="I92" s="12" t="inlineStr">
        <is>
          <t>Applications go live without security testing.</t>
        </is>
      </c>
      <c r="J92" s="11" t="inlineStr">
        <is>
          <t>Planned</t>
        </is>
      </c>
      <c r="K92" s="12" t="inlineStr">
        <is>
          <t>Chief Information Security Officer (CISO)</t>
        </is>
      </c>
      <c r="L92" s="12" t="inlineStr">
        <is>
          <t>Planned: Secure Development Guideline</t>
        </is>
      </c>
      <c r="M92" s="11" t="inlineStr">
        <is>
          <t>R14</t>
        </is>
      </c>
      <c r="N92" s="13">
        <f>IF(M92="",0,LEN(M92)-LEN(SUBSTITUTE(M92,",",""))+1)</f>
        <v/>
      </c>
    </row>
    <row r="93">
      <c r="A93" s="11" t="inlineStr">
        <is>
          <t>A.8.30</t>
        </is>
      </c>
      <c r="B93" s="12" t="inlineStr">
        <is>
          <t>Outsourced development</t>
        </is>
      </c>
      <c r="C93" s="11" t="inlineStr">
        <is>
          <t>Technological</t>
        </is>
      </c>
      <c r="D93" s="11" t="inlineStr">
        <is>
          <t>No</t>
        </is>
      </c>
      <c r="E93" s="11" t="n"/>
      <c r="F93" s="11" t="n"/>
      <c r="G93" s="11" t="n"/>
      <c r="H93" s="11" t="n"/>
      <c r="I93" s="12" t="inlineStr">
        <is>
          <t>Excluded: within the ISMS scope no software development is outsourced. Bought standard software is covered by A.5.19 to A.5.22. Review if this changes.</t>
        </is>
      </c>
      <c r="J93" s="11" t="inlineStr">
        <is>
          <t>Not applicable</t>
        </is>
      </c>
      <c r="K93" s="12" t="inlineStr">
        <is>
          <t>Chief Information Security Officer (CISO)</t>
        </is>
      </c>
      <c r="L93" s="12" t="inlineStr">
        <is>
          <t>Scope statement</t>
        </is>
      </c>
      <c r="M93" s="11" t="n"/>
      <c r="N93" s="13">
        <f>IF(M93="",0,LEN(M93)-LEN(SUBSTITUTE(M93,",",""))+1)</f>
        <v/>
      </c>
    </row>
    <row r="94">
      <c r="A94" s="11" t="inlineStr">
        <is>
          <t>A.8.31</t>
        </is>
      </c>
      <c r="B94" s="12" t="inlineStr">
        <is>
          <t>Separating development, test and production</t>
        </is>
      </c>
      <c r="C94" s="11" t="inlineStr">
        <is>
          <t>Technological</t>
        </is>
      </c>
      <c r="D94" s="11" t="inlineStr">
        <is>
          <t>Yes</t>
        </is>
      </c>
      <c r="E94" s="11" t="n"/>
      <c r="F94" s="11" t="n"/>
      <c r="G94" s="11" t="n"/>
      <c r="H94" s="11" t="inlineStr">
        <is>
          <t>X</t>
        </is>
      </c>
      <c r="I94" s="12" t="inlineStr">
        <is>
          <t>Central applications have test systems; institute applications often do not.</t>
        </is>
      </c>
      <c r="J94" s="11" t="inlineStr">
        <is>
          <t>Partially implemented</t>
        </is>
      </c>
      <c r="K94" s="12" t="inlineStr">
        <is>
          <t>Head of University IT Centre (HIZ)</t>
        </is>
      </c>
      <c r="L94" s="12" t="inlineStr">
        <is>
          <t>Change Management Procedure</t>
        </is>
      </c>
      <c r="M94" s="11" t="n"/>
      <c r="N94" s="13">
        <f>IF(M94="",0,LEN(M94)-LEN(SUBSTITUTE(M94,",",""))+1)</f>
        <v/>
      </c>
    </row>
    <row r="95">
      <c r="A95" s="11" t="inlineStr">
        <is>
          <t>A.8.32</t>
        </is>
      </c>
      <c r="B95" s="12" t="inlineStr">
        <is>
          <t>Change management</t>
        </is>
      </c>
      <c r="C95" s="11" t="inlineStr">
        <is>
          <t>Technological</t>
        </is>
      </c>
      <c r="D95" s="11" t="inlineStr">
        <is>
          <t>Yes</t>
        </is>
      </c>
      <c r="E95" s="11" t="n"/>
      <c r="F95" s="11" t="n"/>
      <c r="G95" s="11" t="n"/>
      <c r="H95" s="11" t="inlineStr">
        <is>
          <t>X</t>
        </is>
      </c>
      <c r="I95" s="12" t="inlineStr">
        <is>
          <t>A change board covers central systems.</t>
        </is>
      </c>
      <c r="J95" s="11" t="inlineStr">
        <is>
          <t>Partially implemented</t>
        </is>
      </c>
      <c r="K95" s="12" t="inlineStr">
        <is>
          <t>Head of University IT Centre (HIZ)</t>
        </is>
      </c>
      <c r="L95" s="12" t="inlineStr">
        <is>
          <t>Change Management Procedure</t>
        </is>
      </c>
      <c r="M95" s="11" t="n"/>
      <c r="N95" s="13">
        <f>IF(M95="",0,LEN(M95)-LEN(SUBSTITUTE(M95,",",""))+1)</f>
        <v/>
      </c>
    </row>
    <row r="96">
      <c r="A96" s="11" t="inlineStr">
        <is>
          <t>A.8.33</t>
        </is>
      </c>
      <c r="B96" s="12" t="inlineStr">
        <is>
          <t>Test information</t>
        </is>
      </c>
      <c r="C96" s="11" t="inlineStr">
        <is>
          <t>Technological</t>
        </is>
      </c>
      <c r="D96" s="11" t="inlineStr">
        <is>
          <t>Yes</t>
        </is>
      </c>
      <c r="E96" s="11" t="n"/>
      <c r="F96" s="11" t="inlineStr">
        <is>
          <t>X</t>
        </is>
      </c>
      <c r="G96" s="11" t="n"/>
      <c r="H96" s="11" t="n"/>
      <c r="I96" s="12" t="inlineStr">
        <is>
          <t>Real student data is sometimes copied into test systems.</t>
        </is>
      </c>
      <c r="J96" s="11" t="inlineStr">
        <is>
          <t>Partially implemented</t>
        </is>
      </c>
      <c r="K96" s="12" t="inlineStr">
        <is>
          <t>Head of University IT Centre (HIZ)</t>
        </is>
      </c>
      <c r="L96" s="12" t="inlineStr">
        <is>
          <t>Change Management Procedure</t>
        </is>
      </c>
      <c r="M96" s="11" t="n"/>
      <c r="N96" s="13">
        <f>IF(M96="",0,LEN(M96)-LEN(SUBSTITUTE(M96,",",""))+1)</f>
        <v/>
      </c>
    </row>
    <row r="97">
      <c r="A97" s="11" t="inlineStr">
        <is>
          <t>A.8.34</t>
        </is>
      </c>
      <c r="B97" s="12" t="inlineStr">
        <is>
          <t>Protecting systems during audit testing</t>
        </is>
      </c>
      <c r="C97" s="11" t="inlineStr">
        <is>
          <t>Technological</t>
        </is>
      </c>
      <c r="D97" s="11" t="inlineStr">
        <is>
          <t>Yes</t>
        </is>
      </c>
      <c r="E97" s="11" t="n"/>
      <c r="F97" s="11" t="n"/>
      <c r="G97" s="11" t="n"/>
      <c r="H97" s="11" t="inlineStr">
        <is>
          <t>X</t>
        </is>
      </c>
      <c r="I97" s="12" t="inlineStr">
        <is>
          <t>Scans and penetration tests are agreed with system owners beforehand.</t>
        </is>
      </c>
      <c r="J97" s="11" t="inlineStr">
        <is>
          <t>Implemented</t>
        </is>
      </c>
      <c r="K97" s="12" t="inlineStr">
        <is>
          <t>Chief Information Security Officer (CISO)</t>
        </is>
      </c>
      <c r="L97" s="12" t="inlineStr">
        <is>
          <t>Patch and Vulnerability Procedure</t>
        </is>
      </c>
      <c r="M97" s="11" t="n"/>
      <c r="N97" s="13">
        <f>IF(M97="",0,LEN(M97)-LEN(SUBSTITUTE(M97,",",""))+1)</f>
        <v/>
      </c>
    </row>
  </sheetData>
  <autoFilter ref="A4:N97"/>
  <conditionalFormatting sqref="J5:J97">
    <cfRule type="cellIs" priority="1" operator="equal" dxfId="0">
      <formula>"Implemented"</formula>
    </cfRule>
    <cfRule type="cellIs" priority="2" operator="equal" dxfId="1">
      <formula>"Partially implemented"</formula>
    </cfRule>
    <cfRule type="cellIs" priority="3" operator="equal" dxfId="2">
      <formula>"Planned"</formula>
    </cfRule>
    <cfRule type="cellIs" priority="4" operator="equal" dxfId="3">
      <formula>"Not implemented"</formula>
    </cfRule>
    <cfRule type="cellIs" priority="5" operator="equal" dxfId="4">
      <formula>"Not applicable"</formula>
    </cfRule>
  </conditionalFormatting>
  <conditionalFormatting sqref="D5:D97">
    <cfRule type="cellIs" priority="6" operator="equal" dxfId="5">
      <formula>"No"</formula>
    </cfRule>
  </conditionalFormatting>
  <dataValidations count="3">
    <dataValidation sqref="D5:D97" showDropDown="0" showInputMessage="0" showErrorMessage="0" allowBlank="0" type="list">
      <formula1>=Lists!$A$2:$A$3</formula1>
    </dataValidation>
    <dataValidation sqref="J5:J97" showDropDown="0" showInputMessage="0" showErrorMessage="0" allowBlank="0" type="list">
      <formula1>=Lists!$B$2:$B$6</formula1>
    </dataValidation>
    <dataValidation sqref="E5:H97" showDropDown="0" showInputMessage="0" showErrorMessage="0" allowBlank="1" type="list">
      <formula1>=Lists!$C$2:$C$2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s>
  <sheetData>
    <row r="1">
      <c r="A1" s="7" t="inlineStr">
        <is>
          <t>SoA Summary</t>
        </is>
      </c>
    </row>
    <row r="2">
      <c r="A2" s="14" t="inlineStr">
        <is>
          <t>Calculated from the SoA sheet (rows 5 to 97). Portfolio exercise.</t>
        </is>
      </c>
    </row>
    <row r="4">
      <c r="A4" s="9" t="inlineStr">
        <is>
          <t>KPI</t>
        </is>
      </c>
      <c r="B4" s="9" t="inlineStr">
        <is>
          <t>Value</t>
        </is>
      </c>
    </row>
    <row r="5">
      <c r="A5" s="15" t="inlineStr">
        <is>
          <t>Annex A controls</t>
        </is>
      </c>
      <c r="B5" s="16">
        <f>COUNTA(SoA!$A$5:$A$97)</f>
        <v/>
      </c>
    </row>
    <row r="6">
      <c r="A6" s="15" t="inlineStr">
        <is>
          <t>Applicable</t>
        </is>
      </c>
      <c r="B6" s="16">
        <f>COUNTIF(SoA!$D$5:$D$97,"Yes")</f>
        <v/>
      </c>
    </row>
    <row r="7">
      <c r="A7" s="15" t="inlineStr">
        <is>
          <t>Excluded</t>
        </is>
      </c>
      <c r="B7" s="16">
        <f>COUNTIF(SoA!$D$5:$D$97,"No")</f>
        <v/>
      </c>
    </row>
    <row r="8">
      <c r="A8" s="15" t="inlineStr">
        <is>
          <t>Applicable and fully implemented</t>
        </is>
      </c>
      <c r="B8" s="16">
        <f>COUNTIFS(SoA!$D$5:$D$97,"Yes",SoA!$J$5:$J$97,"Implemented")</f>
        <v/>
      </c>
    </row>
    <row r="9">
      <c r="A9" s="15" t="inlineStr">
        <is>
          <t>Implementation rate (fully implemented / applicable)</t>
        </is>
      </c>
      <c r="B9" s="17">
        <f>IFERROR(B8/B6,0)</f>
        <v/>
      </c>
    </row>
    <row r="10">
      <c r="A10" s="15" t="inlineStr">
        <is>
          <t>Applicable controls linked to at least one risk</t>
        </is>
      </c>
      <c r="B10" s="16">
        <f>COUNTIFS(SoA!$D$5:$D$97,"Yes",SoA!$N$5:$N$97,"&gt;0")</f>
        <v/>
      </c>
    </row>
    <row r="12">
      <c r="A12" s="18" t="inlineStr">
        <is>
          <t>Applicable controls by theme and implementation status</t>
        </is>
      </c>
    </row>
    <row r="13" ht="32" customHeight="1">
      <c r="A13" s="9" t="inlineStr">
        <is>
          <t>Theme</t>
        </is>
      </c>
      <c r="B13" s="19" t="inlineStr">
        <is>
          <t>Implemented</t>
        </is>
      </c>
      <c r="C13" s="20" t="inlineStr">
        <is>
          <t>Partially implemented</t>
        </is>
      </c>
      <c r="D13" s="21" t="inlineStr">
        <is>
          <t>Planned</t>
        </is>
      </c>
      <c r="E13" s="22" t="inlineStr">
        <is>
          <t>Not implemented</t>
        </is>
      </c>
      <c r="F13" s="9" t="inlineStr">
        <is>
          <t>Applicable</t>
        </is>
      </c>
      <c r="G13" s="9" t="inlineStr">
        <is>
          <t>Excluded</t>
        </is>
      </c>
    </row>
    <row r="14">
      <c r="A14" s="23" t="inlineStr">
        <is>
          <t>Organisational</t>
        </is>
      </c>
      <c r="B14" s="24">
        <f>COUNTIFS(SoA!$C$5:$C$97,$A14,SoA!$D$5:$D$97,"Yes",SoA!$J$5:$J$97,B$13)</f>
        <v/>
      </c>
      <c r="C14" s="24">
        <f>COUNTIFS(SoA!$C$5:$C$97,$A14,SoA!$D$5:$D$97,"Yes",SoA!$J$5:$J$97,C$13)</f>
        <v/>
      </c>
      <c r="D14" s="24">
        <f>COUNTIFS(SoA!$C$5:$C$97,$A14,SoA!$D$5:$D$97,"Yes",SoA!$J$5:$J$97,D$13)</f>
        <v/>
      </c>
      <c r="E14" s="24">
        <f>COUNTIFS(SoA!$C$5:$C$97,$A14,SoA!$D$5:$D$97,"Yes",SoA!$J$5:$J$97,E$13)</f>
        <v/>
      </c>
      <c r="F14" s="16">
        <f>COUNTIFS(SoA!$C$5:$C$97,$A14,SoA!$D$5:$D$97,"Yes")</f>
        <v/>
      </c>
      <c r="G14" s="24">
        <f>COUNTIFS(SoA!$C$5:$C$97,$A14,SoA!$D$5:$D$97,"No")</f>
        <v/>
      </c>
    </row>
    <row r="15">
      <c r="A15" s="23" t="inlineStr">
        <is>
          <t>People</t>
        </is>
      </c>
      <c r="B15" s="24">
        <f>COUNTIFS(SoA!$C$5:$C$97,$A15,SoA!$D$5:$D$97,"Yes",SoA!$J$5:$J$97,B$13)</f>
        <v/>
      </c>
      <c r="C15" s="24">
        <f>COUNTIFS(SoA!$C$5:$C$97,$A15,SoA!$D$5:$D$97,"Yes",SoA!$J$5:$J$97,C$13)</f>
        <v/>
      </c>
      <c r="D15" s="24">
        <f>COUNTIFS(SoA!$C$5:$C$97,$A15,SoA!$D$5:$D$97,"Yes",SoA!$J$5:$J$97,D$13)</f>
        <v/>
      </c>
      <c r="E15" s="24">
        <f>COUNTIFS(SoA!$C$5:$C$97,$A15,SoA!$D$5:$D$97,"Yes",SoA!$J$5:$J$97,E$13)</f>
        <v/>
      </c>
      <c r="F15" s="16">
        <f>COUNTIFS(SoA!$C$5:$C$97,$A15,SoA!$D$5:$D$97,"Yes")</f>
        <v/>
      </c>
      <c r="G15" s="24">
        <f>COUNTIFS(SoA!$C$5:$C$97,$A15,SoA!$D$5:$D$97,"No")</f>
        <v/>
      </c>
    </row>
    <row r="16">
      <c r="A16" s="23" t="inlineStr">
        <is>
          <t>Physical</t>
        </is>
      </c>
      <c r="B16" s="24">
        <f>COUNTIFS(SoA!$C$5:$C$97,$A16,SoA!$D$5:$D$97,"Yes",SoA!$J$5:$J$97,B$13)</f>
        <v/>
      </c>
      <c r="C16" s="24">
        <f>COUNTIFS(SoA!$C$5:$C$97,$A16,SoA!$D$5:$D$97,"Yes",SoA!$J$5:$J$97,C$13)</f>
        <v/>
      </c>
      <c r="D16" s="24">
        <f>COUNTIFS(SoA!$C$5:$C$97,$A16,SoA!$D$5:$D$97,"Yes",SoA!$J$5:$J$97,D$13)</f>
        <v/>
      </c>
      <c r="E16" s="24">
        <f>COUNTIFS(SoA!$C$5:$C$97,$A16,SoA!$D$5:$D$97,"Yes",SoA!$J$5:$J$97,E$13)</f>
        <v/>
      </c>
      <c r="F16" s="16">
        <f>COUNTIFS(SoA!$C$5:$C$97,$A16,SoA!$D$5:$D$97,"Yes")</f>
        <v/>
      </c>
      <c r="G16" s="24">
        <f>COUNTIFS(SoA!$C$5:$C$97,$A16,SoA!$D$5:$D$97,"No")</f>
        <v/>
      </c>
    </row>
    <row r="17">
      <c r="A17" s="23" t="inlineStr">
        <is>
          <t>Technological</t>
        </is>
      </c>
      <c r="B17" s="24">
        <f>COUNTIFS(SoA!$C$5:$C$97,$A17,SoA!$D$5:$D$97,"Yes",SoA!$J$5:$J$97,B$13)</f>
        <v/>
      </c>
      <c r="C17" s="24">
        <f>COUNTIFS(SoA!$C$5:$C$97,$A17,SoA!$D$5:$D$97,"Yes",SoA!$J$5:$J$97,C$13)</f>
        <v/>
      </c>
      <c r="D17" s="24">
        <f>COUNTIFS(SoA!$C$5:$C$97,$A17,SoA!$D$5:$D$97,"Yes",SoA!$J$5:$J$97,D$13)</f>
        <v/>
      </c>
      <c r="E17" s="24">
        <f>COUNTIFS(SoA!$C$5:$C$97,$A17,SoA!$D$5:$D$97,"Yes",SoA!$J$5:$J$97,E$13)</f>
        <v/>
      </c>
      <c r="F17" s="16">
        <f>COUNTIFS(SoA!$C$5:$C$97,$A17,SoA!$D$5:$D$97,"Yes")</f>
        <v/>
      </c>
      <c r="G17" s="24">
        <f>COUNTIFS(SoA!$C$5:$C$97,$A17,SoA!$D$5:$D$97,"No")</f>
        <v/>
      </c>
    </row>
    <row r="18">
      <c r="A18" s="23" t="inlineStr">
        <is>
          <t>Total</t>
        </is>
      </c>
      <c r="B18" s="16">
        <f>SUM(B14:B17)</f>
        <v/>
      </c>
      <c r="C18" s="16">
        <f>SUM(C14:C17)</f>
        <v/>
      </c>
      <c r="D18" s="16">
        <f>SUM(D14:D17)</f>
        <v/>
      </c>
      <c r="E18" s="16">
        <f>SUM(E14:E17)</f>
        <v/>
      </c>
      <c r="F18" s="16">
        <f>SUM(F14:F17)</f>
        <v/>
      </c>
      <c r="G18" s="16">
        <f>SUM(G14:G17)</f>
        <v/>
      </c>
    </row>
    <row r="20">
      <c r="A20" s="18" t="inlineStr">
        <is>
          <t>Reasons for inclusion (a control can have several)</t>
        </is>
      </c>
    </row>
    <row r="21">
      <c r="A21" s="9" t="inlineStr">
        <is>
          <t>Reason</t>
        </is>
      </c>
      <c r="B21" s="9" t="inlineStr">
        <is>
          <t>Controls</t>
        </is>
      </c>
    </row>
    <row r="22">
      <c r="A22" s="15" t="inlineStr">
        <is>
          <t>R: Risk treatment</t>
        </is>
      </c>
      <c r="B22" s="24">
        <f>COUNTIF(SoA!$E$5:$E$97,"X")</f>
        <v/>
      </c>
    </row>
    <row r="23">
      <c r="A23" s="15" t="inlineStr">
        <is>
          <t>L: Legal / regulatory</t>
        </is>
      </c>
      <c r="B23" s="24">
        <f>COUNTIF(SoA!$F$5:$F$97,"X")</f>
        <v/>
      </c>
    </row>
    <row r="24">
      <c r="A24" s="15" t="inlineStr">
        <is>
          <t>C: Contractual</t>
        </is>
      </c>
      <c r="B24" s="24">
        <f>COUNTIF(SoA!$G$5:$G$97,"X")</f>
        <v/>
      </c>
    </row>
    <row r="25">
      <c r="A25" s="15" t="inlineStr">
        <is>
          <t>B: Baseline good practice</t>
        </is>
      </c>
      <c r="B25" s="24">
        <f>COUNTIF(SoA!$H$5:$H$97,"X")</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2" customWidth="1" min="1" max="1"/>
    <col width="22" customWidth="1" min="2" max="2"/>
    <col width="22" customWidth="1" min="3" max="3"/>
  </cols>
  <sheetData>
    <row r="1">
      <c r="A1" s="18" t="inlineStr">
        <is>
          <t>Applicable</t>
        </is>
      </c>
      <c r="B1" s="18" t="inlineStr">
        <is>
          <t>Status</t>
        </is>
      </c>
      <c r="C1" s="18" t="inlineStr">
        <is>
          <t>Flag</t>
        </is>
      </c>
    </row>
    <row r="2">
      <c r="A2" s="25" t="inlineStr">
        <is>
          <t>Yes</t>
        </is>
      </c>
      <c r="B2" s="25" t="inlineStr">
        <is>
          <t>Implemented</t>
        </is>
      </c>
      <c r="C2" s="25" t="inlineStr">
        <is>
          <t>X</t>
        </is>
      </c>
    </row>
    <row r="3">
      <c r="A3" s="25" t="inlineStr">
        <is>
          <t>No</t>
        </is>
      </c>
      <c r="B3" s="25" t="inlineStr">
        <is>
          <t>Partially implemented</t>
        </is>
      </c>
    </row>
    <row r="4">
      <c r="B4" s="25" t="inlineStr">
        <is>
          <t>Planned</t>
        </is>
      </c>
    </row>
    <row r="5">
      <c r="B5" s="25" t="inlineStr">
        <is>
          <t>Not implemented</t>
        </is>
      </c>
    </row>
    <row r="6">
      <c r="B6" s="25" t="inlineStr">
        <is>
          <t>Not applicable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2" customWidth="1" min="1" max="1"/>
    <col width="40" customWidth="1" min="2" max="2"/>
    <col width="45" customWidth="1" min="3" max="3"/>
    <col width="55" customWidth="1" min="4" max="4"/>
    <col width="28" customWidth="1" min="5" max="5"/>
    <col width="24" customWidth="1" min="6" max="6"/>
  </cols>
  <sheetData>
    <row r="1">
      <c r="A1" s="7" t="inlineStr">
        <is>
          <t>Sources</t>
        </is>
      </c>
    </row>
    <row r="2">
      <c r="A2" s="14" t="inlineStr">
        <is>
          <t>Checked 8 October 2026. Everything not listed here (statuses, owners, documents, scope) is invented for the exercise.</t>
        </is>
      </c>
    </row>
    <row r="4">
      <c r="A4" s="26" t="inlineStr">
        <is>
          <t>Type</t>
        </is>
      </c>
      <c r="B4" s="26" t="inlineStr">
        <is>
          <t>Source</t>
        </is>
      </c>
      <c r="C4" s="26" t="inlineStr">
        <is>
          <t>Link</t>
        </is>
      </c>
      <c r="D4" s="26" t="inlineStr">
        <is>
          <t>What it supports</t>
        </is>
      </c>
      <c r="E4" s="26" t="inlineStr">
        <is>
          <t>Used in</t>
        </is>
      </c>
      <c r="F4" s="26" t="inlineStr">
        <is>
          <t>Access</t>
        </is>
      </c>
    </row>
    <row r="5">
      <c r="A5" s="27" t="inlineStr">
        <is>
          <t>Standard</t>
        </is>
      </c>
      <c r="B5" s="27" t="inlineStr">
        <is>
          <t>ISO/IEC 27001:2022 Information security management systems: Requirements (with Amd 1:2024)</t>
        </is>
      </c>
      <c r="C5" s="28" t="inlineStr">
        <is>
          <t>https://www.iso.org/standard/27001</t>
        </is>
      </c>
      <c r="D5" s="27" t="inlineStr">
        <is>
          <t>Clause 6.1.3 d) requires a Statement of Applicability; Annex A lists the 93 controls in four themes</t>
        </is>
      </c>
      <c r="E5" s="27" t="inlineStr">
        <is>
          <t>Whole SoA; control numbers and themes</t>
        </is>
      </c>
      <c r="F5" s="27" t="inlineStr">
        <is>
          <t>Paid standard (about CHF 155), no copy included</t>
        </is>
      </c>
    </row>
    <row r="6">
      <c r="A6" s="27" t="inlineStr">
        <is>
          <t>Standard</t>
        </is>
      </c>
      <c r="B6" s="27" t="inlineStr">
        <is>
          <t>ISO/IEC 27002:2022 Information security controls</t>
        </is>
      </c>
      <c r="C6" s="28" t="inlineStr">
        <is>
          <t>https://www.iso.org/standard/75652.html</t>
        </is>
      </c>
      <c r="D6" s="27" t="inlineStr">
        <is>
          <t>Purpose and guidance for each control, used to write the paraphrased titles and justifications</t>
        </is>
      </c>
      <c r="E6" s="27" t="inlineStr">
        <is>
          <t>Columns B and I</t>
        </is>
      </c>
      <c r="F6" s="27" t="inlineStr">
        <is>
          <t>Paid standard, no copy included</t>
        </is>
      </c>
    </row>
    <row r="7">
      <c r="A7" s="27" t="inlineStr">
        <is>
          <t>Law</t>
        </is>
      </c>
      <c r="B7" s="27" t="inlineStr">
        <is>
          <t>EU General Data Protection Regulation (GDPR), Regulation (EU) 2016/679</t>
        </is>
      </c>
      <c r="C7" s="28" t="inlineStr">
        <is>
          <t>https://eur-lex.europa.eu/eli/reg/2016/679/oj</t>
        </is>
      </c>
      <c r="D7" s="27" t="inlineStr">
        <is>
          <t>Art. 32 security of processing; Art. 33 breach notification within 72 hours</t>
        </is>
      </c>
      <c r="E7" s="27" t="inlineStr">
        <is>
          <t>Reason L; A.5.26, A.5.34, A.8.10, A.8.11 and others</t>
        </is>
      </c>
      <c r="F7" s="27" t="inlineStr">
        <is>
          <t>Free</t>
        </is>
      </c>
    </row>
    <row r="8">
      <c r="A8" s="27" t="inlineStr">
        <is>
          <t>Law</t>
        </is>
      </c>
      <c r="B8" s="27" t="inlineStr">
        <is>
          <t>Basic Law for the Federal Republic of Germany (Grundgesetz), Art. 5(3)</t>
        </is>
      </c>
      <c r="C8" s="28" t="inlineStr">
        <is>
          <t>https://www.gesetze-im-internet.de/gg/art_5.html</t>
        </is>
      </c>
      <c r="D8" s="27" t="inlineStr">
        <is>
          <t>Freedom of science, research and teaching, the reason web filtering is limited to known malicious sites</t>
        </is>
      </c>
      <c r="E8" s="27" t="inlineStr">
        <is>
          <t>A.8.23</t>
        </is>
      </c>
      <c r="F8" s="27" t="inlineStr">
        <is>
          <t>Free</t>
        </is>
      </c>
    </row>
    <row r="9">
      <c r="A9" s="27" t="inlineStr">
        <is>
          <t>Internal</t>
        </is>
      </c>
      <c r="B9" s="27" t="inlineStr">
        <is>
          <t>Saarland University risk register (this project)</t>
        </is>
      </c>
      <c r="C9" s="27" t="inlineStr">
        <is>
          <t>../risk-register/saarland-university-risk-register.xlsx</t>
        </is>
      </c>
      <c r="D9" s="27" t="inlineStr">
        <is>
          <t>Risks R01 to R18 and the Annex A controls that treat them</t>
        </is>
      </c>
      <c r="E9" s="27" t="inlineStr">
        <is>
          <t>Column M (related risks), reason R</t>
        </is>
      </c>
      <c r="F9" s="27" t="inlineStr">
        <is>
          <t>Included in this repository</t>
        </is>
      </c>
    </row>
  </sheetData>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2026-10-08T17:31:27Z</dcterms:created>
  <dcterms:modified xmlns:dcterms="http://purl.org/dc/terms/" xmlns:xsi="http://www.w3.org/2001/XMLSchema-instance" xsi:type="dcterms:W3CDTF">2026-10-08T17:31:27Z</dcterms:modified>
</cp:coreProperties>
</file>